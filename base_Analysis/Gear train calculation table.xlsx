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anny\2_project\ongoing\gearbox\base_Analysis\"/>
    </mc:Choice>
  </mc:AlternateContent>
  <xr:revisionPtr revIDLastSave="0" documentId="13_ncr:1_{60D1602C-CEC9-4BBF-AF87-675ECB99B43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第一齒輪對" sheetId="1" r:id="rId1"/>
    <sheet name="預設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6" i="2" l="1"/>
  <c r="D46" i="2"/>
  <c r="M45" i="2"/>
  <c r="O46" i="2" s="1"/>
  <c r="K45" i="2"/>
  <c r="D45" i="2"/>
  <c r="F46" i="2" s="1"/>
  <c r="O44" i="2"/>
  <c r="M44" i="2"/>
  <c r="K44" i="2"/>
  <c r="F44" i="2"/>
  <c r="D44" i="2"/>
  <c r="Q41" i="2"/>
  <c r="K41" i="2"/>
  <c r="H41" i="2"/>
  <c r="B41" i="2"/>
  <c r="B44" i="2" s="1"/>
  <c r="B45" i="2" s="1"/>
  <c r="B31" i="2"/>
  <c r="B32" i="2" s="1"/>
  <c r="B33" i="2" s="1"/>
  <c r="P30" i="2"/>
  <c r="D30" i="2"/>
  <c r="B28" i="2"/>
  <c r="T30" i="2" s="1"/>
  <c r="T31" i="2" s="1"/>
  <c r="B23" i="2"/>
  <c r="D22" i="2"/>
  <c r="B22" i="2"/>
  <c r="N20" i="2"/>
  <c r="N19" i="2"/>
  <c r="N18" i="2"/>
  <c r="N21" i="2" s="1"/>
  <c r="N22" i="2" s="1"/>
  <c r="B16" i="2"/>
  <c r="B21" i="2" s="1"/>
  <c r="R15" i="2"/>
  <c r="J15" i="2"/>
  <c r="J18" i="2" s="1"/>
  <c r="H15" i="2"/>
  <c r="B11" i="2"/>
  <c r="D10" i="2"/>
  <c r="B10" i="2"/>
  <c r="H9" i="2"/>
  <c r="B9" i="2"/>
  <c r="H7" i="2" s="1"/>
  <c r="N30" i="2" s="1"/>
  <c r="N32" i="2" s="1"/>
  <c r="N8" i="2"/>
  <c r="H8" i="2"/>
  <c r="B8" i="2"/>
  <c r="B30" i="2" s="1"/>
  <c r="I32" i="2" s="1"/>
  <c r="N7" i="2"/>
  <c r="B7" i="2"/>
  <c r="T7" i="2" s="1"/>
  <c r="T8" i="2" s="1"/>
  <c r="P6" i="2"/>
  <c r="N6" i="2"/>
  <c r="N9" i="2" s="1"/>
  <c r="N10" i="2" s="1"/>
  <c r="L6" i="2"/>
  <c r="J6" i="2"/>
  <c r="F6" i="2"/>
  <c r="D6" i="2"/>
  <c r="B6" i="2"/>
  <c r="R4" i="2"/>
  <c r="R16" i="2" s="1"/>
  <c r="Q41" i="1"/>
  <c r="M46" i="1"/>
  <c r="D46" i="1"/>
  <c r="M44" i="1"/>
  <c r="D44" i="1"/>
  <c r="D45" i="1" s="1"/>
  <c r="F46" i="1" s="1"/>
  <c r="K41" i="1"/>
  <c r="K44" i="1" s="1"/>
  <c r="K45" i="1" s="1"/>
  <c r="O44" i="1"/>
  <c r="B45" i="1"/>
  <c r="B44" i="1"/>
  <c r="B41" i="1"/>
  <c r="F44" i="1"/>
  <c r="H41" i="1"/>
  <c r="B31" i="1"/>
  <c r="D31" i="1" s="1"/>
  <c r="P30" i="1"/>
  <c r="D30" i="1"/>
  <c r="B28" i="1"/>
  <c r="T30" i="1" s="1"/>
  <c r="T31" i="1" s="1"/>
  <c r="B23" i="1"/>
  <c r="H21" i="1" s="1"/>
  <c r="N19" i="1"/>
  <c r="N20" i="1" s="1"/>
  <c r="N18" i="1"/>
  <c r="N21" i="1" s="1"/>
  <c r="N22" i="1" s="1"/>
  <c r="B16" i="1"/>
  <c r="P18" i="1" s="1"/>
  <c r="R15" i="1"/>
  <c r="J15" i="1"/>
  <c r="J18" i="1" s="1"/>
  <c r="H15" i="1"/>
  <c r="B11" i="1"/>
  <c r="H9" i="1" s="1"/>
  <c r="D10" i="1"/>
  <c r="D22" i="1" s="1"/>
  <c r="B10" i="1"/>
  <c r="B9" i="1"/>
  <c r="H6" i="1" s="1"/>
  <c r="N7" i="1"/>
  <c r="N8" i="1" s="1"/>
  <c r="P6" i="1"/>
  <c r="N6" i="1"/>
  <c r="N9" i="1" s="1"/>
  <c r="N10" i="1" s="1"/>
  <c r="L6" i="1"/>
  <c r="J6" i="1"/>
  <c r="F6" i="1"/>
  <c r="D6" i="1"/>
  <c r="B6" i="1"/>
  <c r="B8" i="1" s="1"/>
  <c r="B30" i="1" s="1"/>
  <c r="I32" i="1" s="1"/>
  <c r="R4" i="1"/>
  <c r="R16" i="1" s="1"/>
  <c r="O45" i="1" l="1"/>
  <c r="Q42" i="1"/>
  <c r="M45" i="1"/>
  <c r="O46" i="1" s="1"/>
  <c r="O45" i="2"/>
  <c r="F45" i="2"/>
  <c r="D7" i="2"/>
  <c r="D9" i="2" s="1"/>
  <c r="F18" i="2"/>
  <c r="F23" i="2" s="1"/>
  <c r="F7" i="2"/>
  <c r="F8" i="2" s="1"/>
  <c r="J7" i="2"/>
  <c r="J8" i="2" s="1"/>
  <c r="B34" i="2" s="1"/>
  <c r="H20" i="2"/>
  <c r="D8" i="2"/>
  <c r="T6" i="2" s="1"/>
  <c r="T32" i="2"/>
  <c r="I30" i="2" s="1"/>
  <c r="H19" i="2"/>
  <c r="N31" i="2" s="1"/>
  <c r="N33" i="2" s="1"/>
  <c r="N34" i="2" s="1"/>
  <c r="H18" i="2"/>
  <c r="T10" i="2"/>
  <c r="T9" i="2"/>
  <c r="J22" i="2"/>
  <c r="H6" i="2"/>
  <c r="H21" i="2"/>
  <c r="L18" i="2"/>
  <c r="D31" i="2"/>
  <c r="P18" i="2"/>
  <c r="F10" i="2"/>
  <c r="J10" i="2"/>
  <c r="B18" i="2"/>
  <c r="D18" i="2"/>
  <c r="F11" i="2" s="1"/>
  <c r="F45" i="1"/>
  <c r="Q45" i="1"/>
  <c r="Q44" i="1"/>
  <c r="F10" i="1"/>
  <c r="H7" i="1"/>
  <c r="N30" i="1" s="1"/>
  <c r="N32" i="1" s="1"/>
  <c r="B22" i="1"/>
  <c r="B32" i="1"/>
  <c r="B33" i="1" s="1"/>
  <c r="B7" i="1"/>
  <c r="T7" i="1" s="1"/>
  <c r="D7" i="1"/>
  <c r="D9" i="1" s="1"/>
  <c r="F7" i="1"/>
  <c r="F9" i="1" s="1"/>
  <c r="J7" i="1"/>
  <c r="J9" i="1" s="1"/>
  <c r="J10" i="1"/>
  <c r="K30" i="1"/>
  <c r="H42" i="1"/>
  <c r="D32" i="1"/>
  <c r="T32" i="1"/>
  <c r="I30" i="1" s="1"/>
  <c r="H20" i="1"/>
  <c r="H8" i="1"/>
  <c r="B18" i="1"/>
  <c r="D18" i="1"/>
  <c r="F11" i="1" s="1"/>
  <c r="F18" i="1"/>
  <c r="B21" i="1"/>
  <c r="L18" i="1"/>
  <c r="J9" i="2" l="1"/>
  <c r="F9" i="2"/>
  <c r="F22" i="2"/>
  <c r="J19" i="2"/>
  <c r="F19" i="2"/>
  <c r="D19" i="2"/>
  <c r="B19" i="2"/>
  <c r="B20" i="2"/>
  <c r="T33" i="2" s="1"/>
  <c r="K30" i="2"/>
  <c r="D32" i="2"/>
  <c r="Q42" i="2"/>
  <c r="H42" i="2"/>
  <c r="J8" i="1"/>
  <c r="B34" i="1" s="1"/>
  <c r="D8" i="1"/>
  <c r="T6" i="1" s="1"/>
  <c r="F8" i="1"/>
  <c r="T8" i="1"/>
  <c r="T10" i="1" s="1"/>
  <c r="H18" i="1"/>
  <c r="H19" i="1"/>
  <c r="N31" i="1" s="1"/>
  <c r="N33" i="1" s="1"/>
  <c r="N34" i="1" s="1"/>
  <c r="F22" i="1"/>
  <c r="F23" i="1"/>
  <c r="B20" i="1"/>
  <c r="T33" i="1" s="1"/>
  <c r="F19" i="1"/>
  <c r="J19" i="1"/>
  <c r="D19" i="1"/>
  <c r="B19" i="1"/>
  <c r="J22" i="1"/>
  <c r="D33" i="1"/>
  <c r="I31" i="1"/>
  <c r="I33" i="1" s="1"/>
  <c r="I34" i="1" s="1"/>
  <c r="H45" i="1"/>
  <c r="H44" i="1"/>
  <c r="T19" i="2" l="1"/>
  <c r="T20" i="2" s="1"/>
  <c r="N35" i="2"/>
  <c r="D20" i="2"/>
  <c r="T18" i="2" s="1"/>
  <c r="D21" i="2"/>
  <c r="J20" i="2"/>
  <c r="B35" i="2" s="1"/>
  <c r="B36" i="2" s="1"/>
  <c r="B37" i="2" s="1"/>
  <c r="J21" i="2"/>
  <c r="F20" i="2"/>
  <c r="F21" i="2"/>
  <c r="H45" i="2"/>
  <c r="H44" i="2"/>
  <c r="Q45" i="2"/>
  <c r="Q44" i="2"/>
  <c r="D33" i="2"/>
  <c r="I31" i="2"/>
  <c r="I33" i="2" s="1"/>
  <c r="I34" i="2" s="1"/>
  <c r="T9" i="1"/>
  <c r="F30" i="1"/>
  <c r="F31" i="1" s="1"/>
  <c r="F32" i="1" s="1"/>
  <c r="F33" i="1" s="1"/>
  <c r="J21" i="1"/>
  <c r="J20" i="1"/>
  <c r="B35" i="1" s="1"/>
  <c r="B36" i="1" s="1"/>
  <c r="B37" i="1" s="1"/>
  <c r="F21" i="1"/>
  <c r="F20" i="1"/>
  <c r="T19" i="1"/>
  <c r="N35" i="1"/>
  <c r="D21" i="1"/>
  <c r="D20" i="1"/>
  <c r="T18" i="1" s="1"/>
  <c r="F30" i="2" l="1"/>
  <c r="F31" i="2" s="1"/>
  <c r="F32" i="2" s="1"/>
  <c r="F33" i="2" s="1"/>
  <c r="T22" i="2"/>
  <c r="G30" i="2" s="1"/>
  <c r="G31" i="2" s="1"/>
  <c r="G32" i="2" s="1"/>
  <c r="G33" i="2" s="1"/>
  <c r="T21" i="2"/>
  <c r="D35" i="2" s="1"/>
  <c r="D36" i="2" s="1"/>
  <c r="D37" i="2" s="1"/>
  <c r="D34" i="2"/>
  <c r="T20" i="1"/>
  <c r="T21" i="1" s="1"/>
  <c r="D35" i="1" s="1"/>
  <c r="D36" i="1" s="1"/>
  <c r="D37" i="1" s="1"/>
  <c r="F35" i="2" l="1"/>
  <c r="D34" i="1"/>
  <c r="T22" i="1"/>
  <c r="G30" i="1" s="1"/>
  <c r="F36" i="2" l="1"/>
  <c r="K28" i="2" s="1"/>
  <c r="K32" i="2" s="1"/>
  <c r="F37" i="2"/>
  <c r="K31" i="2"/>
  <c r="G31" i="1"/>
  <c r="G32" i="1" s="1"/>
  <c r="G33" i="1" s="1"/>
  <c r="F35" i="1" s="1"/>
  <c r="F36" i="1" l="1"/>
  <c r="K28" i="1" s="1"/>
  <c r="K32" i="1" s="1"/>
  <c r="F37" i="1"/>
  <c r="K31" i="1"/>
</calcChain>
</file>

<file path=xl/sharedStrings.xml><?xml version="1.0" encoding="utf-8"?>
<sst xmlns="http://schemas.openxmlformats.org/spreadsheetml/2006/main" count="574" uniqueCount="184">
  <si>
    <t>主動輪</t>
  </si>
  <si>
    <t>基本參數</t>
  </si>
  <si>
    <t>頂部參數</t>
  </si>
  <si>
    <t>根部參數</t>
  </si>
  <si>
    <t>厚度參數</t>
  </si>
  <si>
    <t>軸向分力參數</t>
  </si>
  <si>
    <t>圓角參數</t>
  </si>
  <si>
    <t>軸徑參數</t>
  </si>
  <si>
    <t>倒角參數</t>
  </si>
  <si>
    <t>齒數:</t>
  </si>
  <si>
    <t>頂部倍率:</t>
  </si>
  <si>
    <t>根部倍率:</t>
  </si>
  <si>
    <t>齒間倍率:</t>
  </si>
  <si>
    <t>齒根圓角倍率:</t>
  </si>
  <si>
    <t>導出參數</t>
  </si>
  <si>
    <t>節圓直徑:</t>
  </si>
  <si>
    <t>齒頂:</t>
  </si>
  <si>
    <t>齒根:</t>
  </si>
  <si>
    <t>齒厚:</t>
  </si>
  <si>
    <t>壓力角徑度:</t>
  </si>
  <si>
    <t>齒根圓角半徑:</t>
  </si>
  <si>
    <t>軸承內徑:</t>
  </si>
  <si>
    <t>倒角長度:</t>
  </si>
  <si>
    <t>節圓半徑:</t>
  </si>
  <si>
    <t>齒頂圓直徑:</t>
  </si>
  <si>
    <t>齒根圓直徑:</t>
  </si>
  <si>
    <t>齒間:</t>
  </si>
  <si>
    <t>基圓直徑:</t>
  </si>
  <si>
    <t>孔徑:</t>
  </si>
  <si>
    <t>節圓周長:</t>
  </si>
  <si>
    <t>齒頂圓半徑:</t>
  </si>
  <si>
    <t>齒根圓半徑:</t>
  </si>
  <si>
    <t>齒厚徑度:</t>
  </si>
  <si>
    <t>基圓半徑:</t>
  </si>
  <si>
    <t>周節:</t>
  </si>
  <si>
    <t>齒頂圓周長:</t>
  </si>
  <si>
    <t>齒根圓周長:</t>
  </si>
  <si>
    <t>齒間徑度:</t>
  </si>
  <si>
    <t>基圓周長:</t>
  </si>
  <si>
    <t>徑節:</t>
  </si>
  <si>
    <t>工作深度:</t>
  </si>
  <si>
    <t>齒高:</t>
  </si>
  <si>
    <t>周節徑度:</t>
  </si>
  <si>
    <t>齒隙:</t>
  </si>
  <si>
    <t>從動輪</t>
    <phoneticPr fontId="2" type="noConversion"/>
  </si>
  <si>
    <t>傳動結果</t>
    <phoneticPr fontId="2" type="noConversion"/>
  </si>
  <si>
    <t>建議值:</t>
  </si>
  <si>
    <t>建議值:</t>
    <phoneticPr fontId="2" type="noConversion"/>
  </si>
  <si>
    <t>1~2</t>
    <phoneticPr fontId="2" type="noConversion"/>
  </si>
  <si>
    <t>徑向長度倍率:</t>
    <phoneticPr fontId="2" type="noConversion"/>
  </si>
  <si>
    <t>軸向長度倍率:</t>
    <phoneticPr fontId="2" type="noConversion"/>
  </si>
  <si>
    <t>厚度:</t>
    <phoneticPr fontId="2" type="noConversion"/>
  </si>
  <si>
    <t>壓力角(度):</t>
    <phoneticPr fontId="2" type="noConversion"/>
  </si>
  <si>
    <t>佔用空間:</t>
    <phoneticPr fontId="2" type="noConversion"/>
  </si>
  <si>
    <t>單位:</t>
    <phoneticPr fontId="2" type="noConversion"/>
  </si>
  <si>
    <t>切線速度:</t>
    <phoneticPr fontId="2" type="noConversion"/>
  </si>
  <si>
    <t>模數</t>
  </si>
  <si>
    <t>倍率標準:</t>
    <phoneticPr fontId="2" type="noConversion"/>
  </si>
  <si>
    <t>速度參數</t>
    <phoneticPr fontId="2" type="noConversion"/>
  </si>
  <si>
    <t>扭矩參數</t>
    <phoneticPr fontId="2" type="noConversion"/>
  </si>
  <si>
    <t>輸入角速度:</t>
    <phoneticPr fontId="2" type="noConversion"/>
  </si>
  <si>
    <t>輸出角速度:</t>
    <phoneticPr fontId="2" type="noConversion"/>
  </si>
  <si>
    <t>輸出轉速:</t>
    <phoneticPr fontId="2" type="noConversion"/>
  </si>
  <si>
    <t>輸入轉速(rpm):</t>
    <phoneticPr fontId="2" type="noConversion"/>
  </si>
  <si>
    <t>輸入扭矩(N.m):</t>
    <phoneticPr fontId="2" type="noConversion"/>
  </si>
  <si>
    <t>輸出扭矩:</t>
    <phoneticPr fontId="2" type="noConversion"/>
  </si>
  <si>
    <t>功率:</t>
    <phoneticPr fontId="2" type="noConversion"/>
  </si>
  <si>
    <t>體積估算:</t>
    <phoneticPr fontId="2" type="noConversion"/>
  </si>
  <si>
    <t>轉動慣量估算:</t>
    <phoneticPr fontId="2" type="noConversion"/>
  </si>
  <si>
    <t>mm、g</t>
    <phoneticPr fontId="2" type="noConversion"/>
  </si>
  <si>
    <t>體積&amp;慣性</t>
  </si>
  <si>
    <t>質量估算:</t>
    <phoneticPr fontId="2" type="noConversion"/>
  </si>
  <si>
    <t>節點受力:</t>
    <phoneticPr fontId="2" type="noConversion"/>
  </si>
  <si>
    <t>效率:</t>
    <phoneticPr fontId="2" type="noConversion"/>
  </si>
  <si>
    <t>效率參數</t>
    <phoneticPr fontId="2" type="noConversion"/>
  </si>
  <si>
    <t>輸出功率:</t>
    <phoneticPr fontId="2" type="noConversion"/>
  </si>
  <si>
    <t>軸承外徑:</t>
    <phoneticPr fontId="2" type="noConversion"/>
  </si>
  <si>
    <t>軸徑:</t>
    <phoneticPr fontId="2" type="noConversion"/>
  </si>
  <si>
    <t>模數:</t>
    <phoneticPr fontId="2" type="noConversion"/>
  </si>
  <si>
    <t>密度:</t>
    <phoneticPr fontId="2" type="noConversion"/>
  </si>
  <si>
    <t>其他參數</t>
    <phoneticPr fontId="2" type="noConversion"/>
  </si>
  <si>
    <t>螺旋角:</t>
    <phoneticPr fontId="2" type="noConversion"/>
  </si>
  <si>
    <t>孔半徑:</t>
    <phoneticPr fontId="2" type="noConversion"/>
  </si>
  <si>
    <t>重力加速度</t>
    <phoneticPr fontId="2" type="noConversion"/>
  </si>
  <si>
    <t>重量估算(N):</t>
    <phoneticPr fontId="2" type="noConversion"/>
  </si>
  <si>
    <t>傳動軸向分力:</t>
    <phoneticPr fontId="2" type="noConversion"/>
  </si>
  <si>
    <t>軸承平均直徑:</t>
    <phoneticPr fontId="2" type="noConversion"/>
  </si>
  <si>
    <t>MKS</t>
    <phoneticPr fontId="2" type="noConversion"/>
  </si>
  <si>
    <t>CGS</t>
    <phoneticPr fontId="2" type="noConversion"/>
  </si>
  <si>
    <t>螺旋徑度:</t>
    <phoneticPr fontId="2" type="noConversion"/>
  </si>
  <si>
    <t>軸承平均半徑:</t>
    <phoneticPr fontId="2" type="noConversion"/>
  </si>
  <si>
    <t>輸入軸</t>
    <phoneticPr fontId="2" type="noConversion"/>
  </si>
  <si>
    <t>輸出軸</t>
    <phoneticPr fontId="2" type="noConversion"/>
  </si>
  <si>
    <t>軸承摩擦力:</t>
    <phoneticPr fontId="2" type="noConversion"/>
  </si>
  <si>
    <t>軸承摩擦扭矩:</t>
    <phoneticPr fontId="2" type="noConversion"/>
  </si>
  <si>
    <t>軸承摩擦功率:</t>
    <phoneticPr fontId="2" type="noConversion"/>
  </si>
  <si>
    <t>消耗功率:</t>
    <phoneticPr fontId="2" type="noConversion"/>
  </si>
  <si>
    <t>消耗功率比例:</t>
    <phoneticPr fontId="2" type="noConversion"/>
  </si>
  <si>
    <t>摩擦係數(軸承):</t>
    <phoneticPr fontId="2" type="noConversion"/>
  </si>
  <si>
    <t>軸上摩擦參數</t>
    <phoneticPr fontId="2" type="noConversion"/>
  </si>
  <si>
    <t>模擦係數(齒輪):</t>
    <phoneticPr fontId="2" type="noConversion"/>
  </si>
  <si>
    <t>節點摩擦力:</t>
    <phoneticPr fontId="2" type="noConversion"/>
  </si>
  <si>
    <t>滑動速度:</t>
    <phoneticPr fontId="2" type="noConversion"/>
  </si>
  <si>
    <t>傳動摩擦功率:</t>
    <phoneticPr fontId="2" type="noConversion"/>
  </si>
  <si>
    <t>傳動摩擦參數</t>
    <phoneticPr fontId="2" type="noConversion"/>
  </si>
  <si>
    <t>效率理論值:</t>
    <phoneticPr fontId="2" type="noConversion"/>
  </si>
  <si>
    <t>理論輸出功率:</t>
    <phoneticPr fontId="2" type="noConversion"/>
  </si>
  <si>
    <t>輪系值:</t>
    <phoneticPr fontId="2" type="noConversion"/>
  </si>
  <si>
    <t>漸進路徑:</t>
    <phoneticPr fontId="2" type="noConversion"/>
  </si>
  <si>
    <t>漸遠路徑:</t>
    <phoneticPr fontId="2" type="noConversion"/>
  </si>
  <si>
    <t>總接觸路徑:</t>
    <phoneticPr fontId="2" type="noConversion"/>
  </si>
  <si>
    <t>基節:</t>
    <phoneticPr fontId="2" type="noConversion"/>
  </si>
  <si>
    <t>接觸率:</t>
    <phoneticPr fontId="2" type="noConversion"/>
  </si>
  <si>
    <t>總和(只考慮軸上損耗)</t>
    <phoneticPr fontId="2" type="noConversion"/>
  </si>
  <si>
    <t>總質量和:</t>
    <phoneticPr fontId="2" type="noConversion"/>
  </si>
  <si>
    <t>從動輪相對慣性:</t>
    <phoneticPr fontId="2" type="noConversion"/>
  </si>
  <si>
    <t>空載角加速:</t>
    <phoneticPr fontId="2" type="noConversion"/>
  </si>
  <si>
    <t>總轉動慣量:</t>
    <phoneticPr fontId="2" type="noConversion"/>
  </si>
  <si>
    <t>應力與安全係數</t>
    <phoneticPr fontId="2" type="noConversion"/>
  </si>
  <si>
    <t>徑向總受力:</t>
    <phoneticPr fontId="2" type="noConversion"/>
  </si>
  <si>
    <t>極限應力(Mpa):</t>
    <phoneticPr fontId="2" type="noConversion"/>
  </si>
  <si>
    <t>輸入圓周受力面:</t>
    <phoneticPr fontId="2" type="noConversion"/>
  </si>
  <si>
    <t>輸出圓周受力面:</t>
    <phoneticPr fontId="2" type="noConversion"/>
  </si>
  <si>
    <t>其他係數:1&lt;X&lt;8</t>
    <phoneticPr fontId="2" type="noConversion"/>
  </si>
  <si>
    <t>安全係數</t>
    <phoneticPr fontId="2" type="noConversion"/>
  </si>
  <si>
    <t>安全係數:</t>
    <phoneticPr fontId="2" type="noConversion"/>
  </si>
  <si>
    <t>輸入輪容許扭矩:</t>
    <phoneticPr fontId="2" type="noConversion"/>
  </si>
  <si>
    <t>輸出輪容許扭矩:</t>
    <phoneticPr fontId="2" type="noConversion"/>
  </si>
  <si>
    <t>輸入輪容許受力:</t>
    <phoneticPr fontId="2" type="noConversion"/>
  </si>
  <si>
    <t>輸出輪容許受力:</t>
    <phoneticPr fontId="2" type="noConversion"/>
  </si>
  <si>
    <t>極限負荷扭矩:</t>
    <phoneticPr fontId="2" type="noConversion"/>
  </si>
  <si>
    <t>容許負荷:</t>
    <phoneticPr fontId="2" type="noConversion"/>
  </si>
  <si>
    <t>用於齒輪上</t>
    <phoneticPr fontId="2" type="noConversion"/>
  </si>
  <si>
    <t>需考慮整體機構</t>
    <phoneticPr fontId="2" type="noConversion"/>
  </si>
  <si>
    <t>齒輪安全係數</t>
    <phoneticPr fontId="2" type="noConversion"/>
  </si>
  <si>
    <t>齒面安全係數:</t>
    <phoneticPr fontId="2" type="noConversion"/>
  </si>
  <si>
    <t>齒根安全係數:</t>
    <phoneticPr fontId="2" type="noConversion"/>
  </si>
  <si>
    <t>比滑</t>
    <phoneticPr fontId="2" type="noConversion"/>
  </si>
  <si>
    <t>實際輸出轉速:</t>
    <phoneticPr fontId="2" type="noConversion"/>
  </si>
  <si>
    <t>理論輸出轉速:</t>
    <phoneticPr fontId="2" type="noConversion"/>
  </si>
  <si>
    <t>齒輪比滑:</t>
    <phoneticPr fontId="2" type="noConversion"/>
  </si>
  <si>
    <t>滑動距離:</t>
    <phoneticPr fontId="2" type="noConversion"/>
  </si>
  <si>
    <t>轉速差:</t>
    <phoneticPr fontId="2" type="noConversion"/>
  </si>
  <si>
    <t>鍵高:</t>
    <phoneticPr fontId="2" type="noConversion"/>
  </si>
  <si>
    <t>鍵寬:</t>
    <phoneticPr fontId="2" type="noConversion"/>
  </si>
  <si>
    <t>鍵長:</t>
    <phoneticPr fontId="2" type="noConversion"/>
  </si>
  <si>
    <t>單位:</t>
    <phoneticPr fontId="2" type="noConversion"/>
  </si>
  <si>
    <t>mm</t>
    <phoneticPr fontId="2" type="noConversion"/>
  </si>
  <si>
    <t>鍵體積:</t>
    <phoneticPr fontId="2" type="noConversion"/>
  </si>
  <si>
    <t>鍵高軸徑比:(&lt;0.5)</t>
    <phoneticPr fontId="2" type="noConversion"/>
  </si>
  <si>
    <t>鍵座深度:</t>
    <phoneticPr fontId="2" type="noConversion"/>
  </si>
  <si>
    <t>鍵槽深度:</t>
    <phoneticPr fontId="2" type="noConversion"/>
  </si>
  <si>
    <t>齒輪挖除體積:</t>
    <phoneticPr fontId="2" type="noConversion"/>
  </si>
  <si>
    <t>鍵密度:</t>
    <phoneticPr fontId="2" type="noConversion"/>
  </si>
  <si>
    <t>鍵質量:</t>
    <phoneticPr fontId="2" type="noConversion"/>
  </si>
  <si>
    <t>鍵大小</t>
    <phoneticPr fontId="2" type="noConversion"/>
  </si>
  <si>
    <t>鍵結合</t>
    <phoneticPr fontId="2" type="noConversion"/>
  </si>
  <si>
    <t>導出參數</t>
    <phoneticPr fontId="2" type="noConversion"/>
  </si>
  <si>
    <t>鍵受力</t>
    <phoneticPr fontId="2" type="noConversion"/>
  </si>
  <si>
    <t>固定軸</t>
    <phoneticPr fontId="2" type="noConversion"/>
  </si>
  <si>
    <t>軸參數</t>
    <phoneticPr fontId="2" type="noConversion"/>
  </si>
  <si>
    <t>誤差比例:</t>
    <phoneticPr fontId="2" type="noConversion"/>
  </si>
  <si>
    <t>齒輪比滑:(0.02~0.05)</t>
    <phoneticPr fontId="2" type="noConversion"/>
  </si>
  <si>
    <t>軸切切線速度:</t>
    <phoneticPr fontId="2" type="noConversion"/>
  </si>
  <si>
    <t>軸受切面力:</t>
    <phoneticPr fontId="2" type="noConversion"/>
  </si>
  <si>
    <t>鍵剪應力:</t>
    <phoneticPr fontId="2" type="noConversion"/>
  </si>
  <si>
    <t>鍵壓應力:</t>
    <phoneticPr fontId="2" type="noConversion"/>
  </si>
  <si>
    <t>材料</t>
    <phoneticPr fontId="2" type="noConversion"/>
  </si>
  <si>
    <t>常用材料</t>
    <phoneticPr fontId="2" type="noConversion"/>
  </si>
  <si>
    <t>摩擦係數</t>
    <phoneticPr fontId="2" type="noConversion"/>
  </si>
  <si>
    <t>碳鋼</t>
    <phoneticPr fontId="2" type="noConversion"/>
  </si>
  <si>
    <t>鋁</t>
    <phoneticPr fontId="2" type="noConversion"/>
  </si>
  <si>
    <t>銅</t>
    <phoneticPr fontId="2" type="noConversion"/>
  </si>
  <si>
    <t>PLA</t>
    <phoneticPr fontId="2" type="noConversion"/>
  </si>
  <si>
    <t>碳纖</t>
    <phoneticPr fontId="2" type="noConversion"/>
  </si>
  <si>
    <t>潤滑模擦係數</t>
    <phoneticPr fontId="2" type="noConversion"/>
  </si>
  <si>
    <t>每克價格(USD)</t>
    <phoneticPr fontId="2" type="noConversion"/>
  </si>
  <si>
    <t>極限抗壓(mpa)</t>
    <phoneticPr fontId="2" type="noConversion"/>
  </si>
  <si>
    <t>極限抗剪(mpa)</t>
    <phoneticPr fontId="2" type="noConversion"/>
  </si>
  <si>
    <t>密度(g/mm^3)</t>
    <phoneticPr fontId="2" type="noConversion"/>
  </si>
  <si>
    <t>軸直徑:</t>
    <phoneticPr fontId="2" type="noConversion"/>
  </si>
  <si>
    <t>配合間隙:</t>
    <phoneticPr fontId="2" type="noConversion"/>
  </si>
  <si>
    <t>軸面積:</t>
    <phoneticPr fontId="2" type="noConversion"/>
  </si>
  <si>
    <t>軸半徑: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</si>
</sst>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%"/>
  </numFmts>
  <fonts count="2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theme="0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11"/>
      <color theme="0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rgb="FF0070C0"/>
      <name val="新細明體"/>
      <family val="1"/>
      <charset val="136"/>
      <scheme val="minor"/>
    </font>
    <font>
      <sz val="11"/>
      <color rgb="FFC00000"/>
      <name val="新細明體"/>
      <family val="2"/>
      <scheme val="minor"/>
    </font>
    <font>
      <sz val="11"/>
      <color rgb="FFC00000"/>
      <name val="新細明體"/>
      <family val="1"/>
      <charset val="136"/>
      <scheme val="minor"/>
    </font>
    <font>
      <b/>
      <sz val="11"/>
      <color theme="9"/>
      <name val="新細明體"/>
      <family val="1"/>
      <charset val="136"/>
      <scheme val="minor"/>
    </font>
    <font>
      <sz val="11"/>
      <name val="新細明體"/>
      <family val="2"/>
      <scheme val="minor"/>
    </font>
    <font>
      <sz val="11"/>
      <color rgb="FF00B050"/>
      <name val="新細明體"/>
      <family val="2"/>
      <scheme val="minor"/>
    </font>
    <font>
      <sz val="11"/>
      <color rgb="FF00B050"/>
      <name val="新細明體"/>
      <family val="1"/>
      <charset val="136"/>
      <scheme val="minor"/>
    </font>
    <font>
      <b/>
      <sz val="20"/>
      <color theme="8"/>
      <name val="新細明體"/>
      <family val="1"/>
      <charset val="136"/>
      <scheme val="minor"/>
    </font>
    <font>
      <b/>
      <sz val="20"/>
      <color theme="9"/>
      <name val="新細明體"/>
      <family val="1"/>
      <charset val="136"/>
      <scheme val="minor"/>
    </font>
    <font>
      <sz val="11"/>
      <color rgb="FFFF0000"/>
      <name val="新細明體"/>
      <family val="2"/>
      <scheme val="minor"/>
    </font>
    <font>
      <sz val="11"/>
      <color theme="2"/>
      <name val="新細明體"/>
      <family val="2"/>
      <scheme val="minor"/>
    </font>
    <font>
      <b/>
      <sz val="20"/>
      <color theme="5"/>
      <name val="新細明體"/>
      <family val="1"/>
      <charset val="136"/>
      <scheme val="minor"/>
    </font>
    <font>
      <b/>
      <sz val="20"/>
      <color theme="7" tint="-0.249977111117893"/>
      <name val="新細明體"/>
      <family val="1"/>
      <charset val="136"/>
      <scheme val="minor"/>
    </font>
    <font>
      <b/>
      <sz val="20"/>
      <color theme="6"/>
      <name val="新細明體"/>
      <family val="1"/>
      <charset val="136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>
      <alignment vertical="center"/>
    </xf>
  </cellStyleXfs>
  <cellXfs count="72">
    <xf numFmtId="0" fontId="0" fillId="0" borderId="0" xfId="0"/>
    <xf numFmtId="176" fontId="0" fillId="0" borderId="0" xfId="0" applyNumberFormat="1"/>
    <xf numFmtId="176" fontId="10" fillId="3" borderId="0" xfId="0" applyNumberFormat="1" applyFont="1" applyFill="1" applyProtection="1">
      <protection locked="0"/>
    </xf>
    <xf numFmtId="176" fontId="11" fillId="3" borderId="0" xfId="0" applyNumberFormat="1" applyFont="1" applyFill="1" applyProtection="1">
      <protection locked="0"/>
    </xf>
    <xf numFmtId="176" fontId="10" fillId="0" borderId="0" xfId="0" applyNumberFormat="1" applyFont="1" applyProtection="1">
      <protection locked="0"/>
    </xf>
    <xf numFmtId="176" fontId="18" fillId="0" borderId="0" xfId="0" applyNumberFormat="1" applyFont="1" applyProtection="1">
      <protection locked="0"/>
    </xf>
    <xf numFmtId="176" fontId="16" fillId="3" borderId="0" xfId="0" applyNumberFormat="1" applyFont="1" applyFill="1"/>
    <xf numFmtId="176" fontId="0" fillId="3" borderId="0" xfId="0" applyNumberFormat="1" applyFill="1"/>
    <xf numFmtId="176" fontId="9" fillId="3" borderId="0" xfId="0" applyNumberFormat="1" applyFont="1" applyFill="1"/>
    <xf numFmtId="176" fontId="3" fillId="3" borderId="0" xfId="0" applyNumberFormat="1" applyFont="1" applyFill="1"/>
    <xf numFmtId="176" fontId="12" fillId="3" borderId="0" xfId="0" applyNumberFormat="1" applyFont="1" applyFill="1"/>
    <xf numFmtId="176" fontId="12" fillId="0" borderId="0" xfId="0" applyNumberFormat="1" applyFont="1"/>
    <xf numFmtId="176" fontId="1" fillId="2" borderId="0" xfId="0" applyNumberFormat="1" applyFont="1" applyFill="1"/>
    <xf numFmtId="176" fontId="3" fillId="2" borderId="0" xfId="0" applyNumberFormat="1" applyFont="1" applyFill="1"/>
    <xf numFmtId="176" fontId="0" fillId="2" borderId="0" xfId="0" applyNumberFormat="1" applyFill="1"/>
    <xf numFmtId="176" fontId="0" fillId="4" borderId="0" xfId="0" applyNumberFormat="1" applyFill="1"/>
    <xf numFmtId="176" fontId="0" fillId="5" borderId="0" xfId="0" applyNumberFormat="1" applyFill="1"/>
    <xf numFmtId="176" fontId="0" fillId="6" borderId="0" xfId="0" applyNumberFormat="1" applyFill="1"/>
    <xf numFmtId="176" fontId="4" fillId="7" borderId="0" xfId="0" applyNumberFormat="1" applyFont="1" applyFill="1"/>
    <xf numFmtId="176" fontId="4" fillId="8" borderId="0" xfId="0" applyNumberFormat="1" applyFont="1" applyFill="1"/>
    <xf numFmtId="176" fontId="10" fillId="0" borderId="0" xfId="0" applyNumberFormat="1" applyFont="1"/>
    <xf numFmtId="176" fontId="7" fillId="13" borderId="0" xfId="0" applyNumberFormat="1" applyFont="1" applyFill="1"/>
    <xf numFmtId="176" fontId="5" fillId="3" borderId="0" xfId="0" applyNumberFormat="1" applyFont="1" applyFill="1"/>
    <xf numFmtId="176" fontId="6" fillId="6" borderId="0" xfId="0" applyNumberFormat="1" applyFont="1" applyFill="1"/>
    <xf numFmtId="176" fontId="0" fillId="3" borderId="0" xfId="0" applyNumberFormat="1" applyFill="1" applyAlignment="1">
      <alignment horizontal="right"/>
    </xf>
    <xf numFmtId="176" fontId="7" fillId="7" borderId="0" xfId="0" applyNumberFormat="1" applyFont="1" applyFill="1"/>
    <xf numFmtId="176" fontId="7" fillId="8" borderId="0" xfId="0" applyNumberFormat="1" applyFont="1" applyFill="1"/>
    <xf numFmtId="176" fontId="6" fillId="3" borderId="0" xfId="0" applyNumberFormat="1" applyFont="1" applyFill="1"/>
    <xf numFmtId="176" fontId="0" fillId="8" borderId="0" xfId="0" applyNumberFormat="1" applyFill="1"/>
    <xf numFmtId="176" fontId="6" fillId="4" borderId="0" xfId="0" applyNumberFormat="1" applyFont="1" applyFill="1"/>
    <xf numFmtId="176" fontId="6" fillId="5" borderId="0" xfId="0" applyNumberFormat="1" applyFont="1" applyFill="1"/>
    <xf numFmtId="176" fontId="7" fillId="3" borderId="0" xfId="0" applyNumberFormat="1" applyFont="1" applyFill="1"/>
    <xf numFmtId="176" fontId="6" fillId="0" borderId="0" xfId="0" applyNumberFormat="1" applyFont="1"/>
    <xf numFmtId="176" fontId="7" fillId="0" borderId="0" xfId="0" applyNumberFormat="1" applyFont="1"/>
    <xf numFmtId="176" fontId="13" fillId="3" borderId="0" xfId="0" applyNumberFormat="1" applyFont="1" applyFill="1"/>
    <xf numFmtId="176" fontId="17" fillId="3" borderId="0" xfId="0" applyNumberFormat="1" applyFont="1" applyFill="1"/>
    <xf numFmtId="176" fontId="14" fillId="0" borderId="0" xfId="0" applyNumberFormat="1" applyFont="1"/>
    <xf numFmtId="176" fontId="15" fillId="3" borderId="0" xfId="0" applyNumberFormat="1" applyFont="1" applyFill="1"/>
    <xf numFmtId="176" fontId="0" fillId="10" borderId="0" xfId="0" applyNumberFormat="1" applyFill="1"/>
    <xf numFmtId="176" fontId="0" fillId="11" borderId="0" xfId="0" applyNumberFormat="1" applyFill="1"/>
    <xf numFmtId="176" fontId="0" fillId="12" borderId="0" xfId="0" applyNumberFormat="1" applyFill="1"/>
    <xf numFmtId="176" fontId="4" fillId="9" borderId="0" xfId="0" applyNumberFormat="1" applyFont="1" applyFill="1"/>
    <xf numFmtId="176" fontId="4" fillId="14" borderId="0" xfId="0" applyNumberFormat="1" applyFont="1" applyFill="1"/>
    <xf numFmtId="176" fontId="0" fillId="16" borderId="0" xfId="0" applyNumberFormat="1" applyFill="1"/>
    <xf numFmtId="176" fontId="0" fillId="17" borderId="0" xfId="0" applyNumberFormat="1" applyFill="1"/>
    <xf numFmtId="176" fontId="0" fillId="18" borderId="0" xfId="0" applyNumberFormat="1" applyFill="1"/>
    <xf numFmtId="176" fontId="0" fillId="15" borderId="0" xfId="0" applyNumberFormat="1" applyFill="1"/>
    <xf numFmtId="176" fontId="4" fillId="19" borderId="0" xfId="0" applyNumberFormat="1" applyFont="1" applyFill="1"/>
    <xf numFmtId="176" fontId="7" fillId="9" borderId="0" xfId="0" applyNumberFormat="1" applyFont="1" applyFill="1"/>
    <xf numFmtId="176" fontId="13" fillId="0" borderId="0" xfId="0" applyNumberFormat="1" applyFont="1"/>
    <xf numFmtId="176" fontId="7" fillId="14" borderId="0" xfId="0" applyNumberFormat="1" applyFont="1" applyFill="1"/>
    <xf numFmtId="176" fontId="7" fillId="19" borderId="0" xfId="0" applyNumberFormat="1" applyFont="1" applyFill="1"/>
    <xf numFmtId="176" fontId="0" fillId="14" borderId="0" xfId="0" applyNumberFormat="1" applyFill="1"/>
    <xf numFmtId="177" fontId="0" fillId="0" borderId="0" xfId="1" applyNumberFormat="1" applyFont="1" applyAlignment="1" applyProtection="1"/>
    <xf numFmtId="11" fontId="0" fillId="0" borderId="0" xfId="0" applyNumberFormat="1"/>
    <xf numFmtId="176" fontId="0" fillId="9" borderId="0" xfId="0" applyNumberFormat="1" applyFill="1"/>
    <xf numFmtId="176" fontId="21" fillId="0" borderId="0" xfId="0" applyNumberFormat="1" applyFont="1"/>
    <xf numFmtId="176" fontId="13" fillId="2" borderId="0" xfId="0" applyNumberFormat="1" applyFont="1" applyFill="1"/>
    <xf numFmtId="176" fontId="0" fillId="20" borderId="0" xfId="0" applyNumberFormat="1" applyFill="1"/>
    <xf numFmtId="176" fontId="0" fillId="21" borderId="0" xfId="0" applyNumberFormat="1" applyFill="1"/>
    <xf numFmtId="176" fontId="0" fillId="22" borderId="0" xfId="0" applyNumberFormat="1" applyFill="1"/>
    <xf numFmtId="176" fontId="4" fillId="23" borderId="0" xfId="0" applyNumberFormat="1" applyFont="1" applyFill="1"/>
    <xf numFmtId="176" fontId="7" fillId="23" borderId="0" xfId="0" applyNumberFormat="1" applyFont="1" applyFill="1"/>
    <xf numFmtId="176" fontId="19" fillId="2" borderId="0" xfId="0" applyNumberFormat="1" applyFont="1" applyFill="1"/>
    <xf numFmtId="9" fontId="7" fillId="9" borderId="0" xfId="1" applyFont="1" applyFill="1" applyAlignment="1" applyProtection="1"/>
    <xf numFmtId="9" fontId="0" fillId="0" borderId="0" xfId="1" applyFont="1" applyAlignment="1" applyProtection="1"/>
    <xf numFmtId="176" fontId="22" fillId="0" borderId="0" xfId="0" applyNumberFormat="1" applyFont="1"/>
    <xf numFmtId="176" fontId="3" fillId="2" borderId="0" xfId="0" applyNumberFormat="1" applyFont="1" applyFill="1" applyAlignment="1">
      <alignment horizontal="center"/>
    </xf>
    <xf numFmtId="176" fontId="0" fillId="3" borderId="0" xfId="0" applyNumberFormat="1" applyFill="1" applyAlignment="1">
      <alignment horizontal="center"/>
    </xf>
    <xf numFmtId="10" fontId="0" fillId="0" borderId="0" xfId="1" applyNumberFormat="1" applyFont="1" applyAlignment="1" applyProtection="1">
      <alignment horizontal="center"/>
    </xf>
    <xf numFmtId="176" fontId="0" fillId="0" borderId="0" xfId="0" applyNumberFormat="1" applyAlignment="1">
      <alignment horizontal="center"/>
    </xf>
    <xf numFmtId="176" fontId="20" fillId="0" borderId="0" xfId="0" applyNumberFormat="1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4"/>
  <sheetViews>
    <sheetView tabSelected="1" zoomScale="85" workbookViewId="0">
      <selection activeCell="O43" sqref="O43"/>
    </sheetView>
  </sheetViews>
  <sheetFormatPr defaultColWidth="8.796875" defaultRowHeight="14.5"/>
  <cols>
    <col min="1" max="1" width="19" style="1" customWidth="1"/>
    <col min="2" max="2" width="14.69921875" style="1" customWidth="1"/>
    <col min="3" max="3" width="19.69921875" style="1" customWidth="1"/>
    <col min="4" max="4" width="14.8984375" style="1" customWidth="1"/>
    <col min="5" max="5" width="16.69921875" style="1" customWidth="1"/>
    <col min="6" max="6" width="15.5" style="1" customWidth="1"/>
    <col min="7" max="7" width="17.69921875" style="1" customWidth="1"/>
    <col min="8" max="8" width="21.09765625" style="1" customWidth="1"/>
    <col min="9" max="9" width="15.69921875" style="1" customWidth="1"/>
    <col min="10" max="10" width="17.8984375" style="1" customWidth="1"/>
    <col min="11" max="11" width="14.59765625" style="1" customWidth="1"/>
    <col min="12" max="12" width="10.5" style="1" customWidth="1"/>
    <col min="13" max="13" width="16.3984375" style="1" customWidth="1"/>
    <col min="14" max="14" width="8.796875" style="1"/>
    <col min="15" max="15" width="16.09765625" style="1" customWidth="1"/>
    <col min="16" max="16" width="8.796875" style="1"/>
    <col min="17" max="17" width="16" style="1" customWidth="1"/>
    <col min="18" max="18" width="12.59765625" style="1" bestFit="1" customWidth="1"/>
    <col min="19" max="19" width="16" style="1" customWidth="1"/>
    <col min="20" max="20" width="12.59765625" style="1" bestFit="1" customWidth="1"/>
    <col min="21" max="21" width="15.3984375" style="1" customWidth="1"/>
    <col min="22" max="16384" width="8.796875" style="1"/>
  </cols>
  <sheetData>
    <row r="1" spans="1:22" ht="27.5">
      <c r="A1" s="6" t="s">
        <v>0</v>
      </c>
      <c r="B1" s="7"/>
      <c r="C1" s="8" t="s">
        <v>54</v>
      </c>
      <c r="D1" s="8" t="s">
        <v>69</v>
      </c>
      <c r="E1" s="8" t="s">
        <v>57</v>
      </c>
      <c r="F1" s="8" t="s">
        <v>56</v>
      </c>
      <c r="G1" s="8"/>
      <c r="H1" s="8"/>
      <c r="K1" s="9"/>
      <c r="L1" s="7"/>
      <c r="M1" s="7"/>
      <c r="N1" s="7"/>
      <c r="O1" s="7"/>
      <c r="P1" s="7"/>
      <c r="S1" s="10" t="s">
        <v>54</v>
      </c>
      <c r="T1" s="10" t="s">
        <v>88</v>
      </c>
      <c r="U1" s="10" t="s">
        <v>83</v>
      </c>
      <c r="V1" s="11">
        <v>9.8000000000000007</v>
      </c>
    </row>
    <row r="2" spans="1:22">
      <c r="A2" s="12" t="s">
        <v>1</v>
      </c>
      <c r="B2" s="12"/>
      <c r="C2" s="12" t="s">
        <v>2</v>
      </c>
      <c r="D2" s="12"/>
      <c r="E2" s="12" t="s">
        <v>3</v>
      </c>
      <c r="F2" s="12"/>
      <c r="G2" s="12" t="s">
        <v>4</v>
      </c>
      <c r="H2" s="12"/>
      <c r="I2" s="12" t="s">
        <v>5</v>
      </c>
      <c r="J2" s="12"/>
      <c r="K2" s="12" t="s">
        <v>6</v>
      </c>
      <c r="L2" s="12"/>
      <c r="M2" s="13" t="s">
        <v>7</v>
      </c>
      <c r="N2" s="13"/>
      <c r="O2" s="13" t="s">
        <v>8</v>
      </c>
      <c r="P2" s="14"/>
      <c r="Q2" s="13" t="s">
        <v>80</v>
      </c>
      <c r="R2" s="14"/>
      <c r="S2" s="13" t="s">
        <v>70</v>
      </c>
      <c r="T2" s="14"/>
    </row>
    <row r="3" spans="1:22">
      <c r="A3" s="7" t="s">
        <v>9</v>
      </c>
      <c r="B3" s="2">
        <v>20</v>
      </c>
      <c r="C3" s="15" t="s">
        <v>10</v>
      </c>
      <c r="D3" s="2">
        <v>1</v>
      </c>
      <c r="E3" s="16" t="s">
        <v>11</v>
      </c>
      <c r="F3" s="2">
        <v>1.25</v>
      </c>
      <c r="G3" s="17" t="s">
        <v>12</v>
      </c>
      <c r="H3" s="2">
        <v>1</v>
      </c>
      <c r="I3" s="18" t="s">
        <v>52</v>
      </c>
      <c r="J3" s="2">
        <v>20</v>
      </c>
      <c r="K3" s="19" t="s">
        <v>13</v>
      </c>
      <c r="L3" s="2">
        <v>0.23599999999999999</v>
      </c>
      <c r="M3" s="19" t="s">
        <v>77</v>
      </c>
      <c r="N3" s="3">
        <v>8</v>
      </c>
      <c r="O3" s="19" t="s">
        <v>49</v>
      </c>
      <c r="P3" s="3">
        <v>0</v>
      </c>
      <c r="Q3" s="19" t="s">
        <v>81</v>
      </c>
      <c r="R3" s="4">
        <v>30</v>
      </c>
      <c r="S3" s="21" t="s">
        <v>51</v>
      </c>
      <c r="T3" s="3">
        <v>2</v>
      </c>
    </row>
    <row r="4" spans="1:22">
      <c r="A4" s="22" t="s">
        <v>78</v>
      </c>
      <c r="B4" s="2">
        <v>0.8</v>
      </c>
      <c r="C4" s="15" t="s">
        <v>47</v>
      </c>
      <c r="D4" s="7">
        <v>1</v>
      </c>
      <c r="E4" s="16" t="s">
        <v>46</v>
      </c>
      <c r="F4" s="7">
        <v>1.25</v>
      </c>
      <c r="G4" s="23" t="s">
        <v>46</v>
      </c>
      <c r="H4" s="24" t="s">
        <v>48</v>
      </c>
      <c r="I4" s="25" t="s">
        <v>46</v>
      </c>
      <c r="J4" s="7">
        <v>20</v>
      </c>
      <c r="K4" s="26" t="s">
        <v>46</v>
      </c>
      <c r="L4" s="7">
        <v>0.23599999999999999</v>
      </c>
      <c r="M4" s="26" t="s">
        <v>76</v>
      </c>
      <c r="N4" s="3">
        <v>10</v>
      </c>
      <c r="O4" s="26" t="s">
        <v>50</v>
      </c>
      <c r="P4" s="3">
        <v>0</v>
      </c>
      <c r="Q4" s="19" t="s">
        <v>89</v>
      </c>
      <c r="R4" s="1">
        <f>R3*PI()/180</f>
        <v>0.52359877559829882</v>
      </c>
      <c r="S4" s="21" t="s">
        <v>79</v>
      </c>
      <c r="T4" s="3">
        <v>7850</v>
      </c>
    </row>
    <row r="5" spans="1:22">
      <c r="A5" s="13" t="s">
        <v>14</v>
      </c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spans="1:22">
      <c r="A6" s="7" t="s">
        <v>15</v>
      </c>
      <c r="B6" s="7">
        <f>B3*B4</f>
        <v>16</v>
      </c>
      <c r="C6" s="15" t="s">
        <v>16</v>
      </c>
      <c r="D6" s="7">
        <f>D3*B4</f>
        <v>0.8</v>
      </c>
      <c r="E6" s="16" t="s">
        <v>17</v>
      </c>
      <c r="F6" s="7">
        <f>F3*B4</f>
        <v>1</v>
      </c>
      <c r="G6" s="23" t="s">
        <v>18</v>
      </c>
      <c r="H6" s="7">
        <f>B9*H3/2</f>
        <v>1.2566370614359172</v>
      </c>
      <c r="I6" s="25" t="s">
        <v>19</v>
      </c>
      <c r="J6" s="7">
        <f>PI()/180*J3</f>
        <v>0.3490658503988659</v>
      </c>
      <c r="K6" s="26" t="s">
        <v>20</v>
      </c>
      <c r="L6" s="7">
        <f>L3*B4</f>
        <v>0.1888</v>
      </c>
      <c r="M6" s="26" t="s">
        <v>21</v>
      </c>
      <c r="N6" s="27">
        <f>N3</f>
        <v>8</v>
      </c>
      <c r="O6" s="26" t="s">
        <v>22</v>
      </c>
      <c r="P6" s="27">
        <f>B4*(P3^2+P4^2)^(1/2)</f>
        <v>0</v>
      </c>
      <c r="Q6" s="28"/>
      <c r="S6" s="21" t="s">
        <v>53</v>
      </c>
      <c r="T6" s="27">
        <f>T3*PI()*D8^2/10^2</f>
        <v>4.8656987018798725</v>
      </c>
    </row>
    <row r="7" spans="1:22">
      <c r="A7" s="7" t="s">
        <v>23</v>
      </c>
      <c r="B7" s="7">
        <f>B6/2</f>
        <v>8</v>
      </c>
      <c r="C7" s="15" t="s">
        <v>24</v>
      </c>
      <c r="D7" s="7">
        <f>B6+D6*2</f>
        <v>17.600000000000001</v>
      </c>
      <c r="E7" s="16" t="s">
        <v>25</v>
      </c>
      <c r="F7" s="7">
        <f>B6-2*F6</f>
        <v>14</v>
      </c>
      <c r="G7" s="23" t="s">
        <v>26</v>
      </c>
      <c r="H7" s="7">
        <f>B9*(2-H3)/2</f>
        <v>1.2566370614359172</v>
      </c>
      <c r="I7" s="25" t="s">
        <v>27</v>
      </c>
      <c r="J7" s="7">
        <f>B6*COS(J6)</f>
        <v>15.035081932574535</v>
      </c>
      <c r="K7" s="26"/>
      <c r="L7" s="7"/>
      <c r="M7" s="26" t="s">
        <v>28</v>
      </c>
      <c r="N7" s="27">
        <f>N4</f>
        <v>10</v>
      </c>
      <c r="O7" s="26"/>
      <c r="P7" s="27"/>
      <c r="Q7" s="28"/>
      <c r="S7" s="21" t="s">
        <v>67</v>
      </c>
      <c r="T7" s="27">
        <f>PI()*T3*(B7^2-N8^2)/10^2</f>
        <v>2.4504422698000385</v>
      </c>
    </row>
    <row r="8" spans="1:22">
      <c r="A8" s="7" t="s">
        <v>29</v>
      </c>
      <c r="B8" s="7">
        <f>B6*PI()</f>
        <v>50.26548245743669</v>
      </c>
      <c r="C8" s="15" t="s">
        <v>30</v>
      </c>
      <c r="D8" s="7">
        <f>D7/2</f>
        <v>8.8000000000000007</v>
      </c>
      <c r="E8" s="16" t="s">
        <v>31</v>
      </c>
      <c r="F8" s="7">
        <f>F7/2</f>
        <v>7</v>
      </c>
      <c r="G8" s="23" t="s">
        <v>32</v>
      </c>
      <c r="H8" s="7">
        <f>B11/2*H3</f>
        <v>0.15707963267948966</v>
      </c>
      <c r="I8" s="25" t="s">
        <v>33</v>
      </c>
      <c r="J8" s="7">
        <f>J7/2</f>
        <v>7.5175409662872674</v>
      </c>
      <c r="K8" s="26"/>
      <c r="L8" s="7"/>
      <c r="M8" s="26" t="s">
        <v>82</v>
      </c>
      <c r="N8" s="27">
        <f>N7/2</f>
        <v>5</v>
      </c>
      <c r="O8" s="26"/>
      <c r="P8" s="27"/>
      <c r="Q8" s="28"/>
      <c r="S8" s="21" t="s">
        <v>71</v>
      </c>
      <c r="T8" s="27">
        <f>T7*T4</f>
        <v>19235.971817930302</v>
      </c>
    </row>
    <row r="9" spans="1:22">
      <c r="A9" s="7" t="s">
        <v>34</v>
      </c>
      <c r="B9" s="7">
        <f>B4*PI()</f>
        <v>2.5132741228718345</v>
      </c>
      <c r="C9" s="29" t="s">
        <v>35</v>
      </c>
      <c r="D9" s="7">
        <f>D7*PI()</f>
        <v>55.292030703180366</v>
      </c>
      <c r="E9" s="16" t="s">
        <v>36</v>
      </c>
      <c r="F9" s="7">
        <f>F7*PI()</f>
        <v>43.982297150257104</v>
      </c>
      <c r="G9" s="17" t="s">
        <v>37</v>
      </c>
      <c r="H9" s="7">
        <f>B11/2*(2-H3)</f>
        <v>0.15707963267948966</v>
      </c>
      <c r="I9" s="25" t="s">
        <v>38</v>
      </c>
      <c r="J9" s="7">
        <f>J7*PI()</f>
        <v>47.234102945496787</v>
      </c>
      <c r="K9" s="26"/>
      <c r="L9" s="7"/>
      <c r="M9" s="26" t="s">
        <v>86</v>
      </c>
      <c r="N9" s="27">
        <f>(N4+N6)/2</f>
        <v>9</v>
      </c>
      <c r="O9" s="26"/>
      <c r="P9" s="27"/>
      <c r="Q9" s="28"/>
      <c r="S9" s="21" t="s">
        <v>68</v>
      </c>
      <c r="T9" s="27">
        <f>T8*(B7^2-N8^2)/(2*10^2)</f>
        <v>3751.0145044964088</v>
      </c>
    </row>
    <row r="10" spans="1:22">
      <c r="A10" s="7" t="s">
        <v>39</v>
      </c>
      <c r="B10" s="7">
        <f>2.54/B4</f>
        <v>3.1749999999999998</v>
      </c>
      <c r="C10" s="15" t="s">
        <v>40</v>
      </c>
      <c r="D10" s="7">
        <f>D3+D15</f>
        <v>2</v>
      </c>
      <c r="E10" s="30" t="s">
        <v>41</v>
      </c>
      <c r="F10" s="7">
        <f>F6+D6</f>
        <v>1.8</v>
      </c>
      <c r="G10" s="17"/>
      <c r="H10" s="7"/>
      <c r="I10" s="18" t="s">
        <v>111</v>
      </c>
      <c r="J10" s="7">
        <f>COS(J6)*B9</f>
        <v>2.3617051472748396</v>
      </c>
      <c r="K10" s="26"/>
      <c r="L10" s="7"/>
      <c r="M10" s="26" t="s">
        <v>90</v>
      </c>
      <c r="N10" s="27">
        <f>N9/2</f>
        <v>4.5</v>
      </c>
      <c r="O10" s="26"/>
      <c r="P10" s="27"/>
      <c r="Q10" s="28"/>
      <c r="S10" s="21" t="s">
        <v>84</v>
      </c>
      <c r="T10" s="27">
        <f>T8*V1/1000</f>
        <v>188.51252381571697</v>
      </c>
    </row>
    <row r="11" spans="1:22">
      <c r="A11" s="7" t="s">
        <v>42</v>
      </c>
      <c r="B11" s="7">
        <f>2*PI()/B3</f>
        <v>0.31415926535897931</v>
      </c>
      <c r="C11" s="15"/>
      <c r="D11" s="7"/>
      <c r="E11" s="16" t="s">
        <v>43</v>
      </c>
      <c r="F11" s="7">
        <f>F6-D18</f>
        <v>0.19999999999999996</v>
      </c>
      <c r="G11" s="23"/>
      <c r="H11" s="7"/>
      <c r="I11" s="25"/>
      <c r="J11" s="7"/>
      <c r="K11" s="26"/>
      <c r="M11" s="26"/>
      <c r="N11" s="27"/>
      <c r="O11" s="26"/>
      <c r="P11" s="31"/>
      <c r="Q11" s="28"/>
      <c r="S11" s="21"/>
      <c r="T11" s="27"/>
    </row>
    <row r="12" spans="1:22">
      <c r="G12" s="32"/>
      <c r="I12" s="33"/>
      <c r="K12" s="33"/>
      <c r="M12" s="33"/>
      <c r="N12" s="32"/>
      <c r="O12" s="33"/>
      <c r="P12" s="33"/>
      <c r="S12" s="33"/>
      <c r="T12" s="32"/>
    </row>
    <row r="13" spans="1:22" ht="27.5">
      <c r="A13" s="6" t="s">
        <v>44</v>
      </c>
    </row>
    <row r="14" spans="1:22">
      <c r="A14" s="12" t="s">
        <v>1</v>
      </c>
      <c r="B14" s="12"/>
      <c r="C14" s="12" t="s">
        <v>2</v>
      </c>
      <c r="D14" s="12"/>
      <c r="E14" s="12" t="s">
        <v>3</v>
      </c>
      <c r="F14" s="12"/>
      <c r="G14" s="12" t="s">
        <v>4</v>
      </c>
      <c r="H14" s="12"/>
      <c r="I14" s="12" t="s">
        <v>5</v>
      </c>
      <c r="J14" s="12"/>
      <c r="K14" s="12" t="s">
        <v>6</v>
      </c>
      <c r="L14" s="12"/>
      <c r="M14" s="13" t="s">
        <v>7</v>
      </c>
      <c r="N14" s="13"/>
      <c r="O14" s="13" t="s">
        <v>8</v>
      </c>
      <c r="P14" s="14"/>
      <c r="Q14" s="13" t="s">
        <v>80</v>
      </c>
      <c r="R14" s="14"/>
      <c r="S14" s="13" t="s">
        <v>70</v>
      </c>
      <c r="T14" s="14"/>
    </row>
    <row r="15" spans="1:22">
      <c r="A15" s="7" t="s">
        <v>9</v>
      </c>
      <c r="B15" s="2">
        <v>40</v>
      </c>
      <c r="C15" s="15" t="s">
        <v>10</v>
      </c>
      <c r="D15" s="2">
        <v>1</v>
      </c>
      <c r="E15" s="16" t="s">
        <v>11</v>
      </c>
      <c r="F15" s="2">
        <v>1.25</v>
      </c>
      <c r="G15" s="17" t="s">
        <v>12</v>
      </c>
      <c r="H15" s="34">
        <f>2-H3</f>
        <v>1</v>
      </c>
      <c r="I15" s="18" t="s">
        <v>52</v>
      </c>
      <c r="J15" s="7">
        <f>J3</f>
        <v>20</v>
      </c>
      <c r="K15" s="19" t="s">
        <v>13</v>
      </c>
      <c r="L15" s="2">
        <v>0.23599999999999999</v>
      </c>
      <c r="M15" s="19" t="s">
        <v>77</v>
      </c>
      <c r="N15" s="3">
        <v>8</v>
      </c>
      <c r="O15" s="19" t="s">
        <v>49</v>
      </c>
      <c r="P15" s="3">
        <v>0</v>
      </c>
      <c r="Q15" s="19" t="s">
        <v>81</v>
      </c>
      <c r="R15" s="1">
        <f>-R3</f>
        <v>-30</v>
      </c>
      <c r="S15" s="21" t="s">
        <v>51</v>
      </c>
      <c r="T15" s="3">
        <v>2</v>
      </c>
    </row>
    <row r="16" spans="1:22">
      <c r="A16" s="22" t="s">
        <v>78</v>
      </c>
      <c r="B16" s="7">
        <f>B4</f>
        <v>0.8</v>
      </c>
      <c r="C16" s="15" t="s">
        <v>47</v>
      </c>
      <c r="D16" s="7">
        <v>1</v>
      </c>
      <c r="E16" s="16" t="s">
        <v>46</v>
      </c>
      <c r="F16" s="7">
        <v>1.25</v>
      </c>
      <c r="G16" s="23"/>
      <c r="H16" s="7"/>
      <c r="I16" s="25"/>
      <c r="J16" s="7"/>
      <c r="K16" s="26" t="s">
        <v>46</v>
      </c>
      <c r="L16" s="7">
        <v>0.23599999999999999</v>
      </c>
      <c r="M16" s="26" t="s">
        <v>76</v>
      </c>
      <c r="N16" s="3">
        <v>10</v>
      </c>
      <c r="O16" s="26" t="s">
        <v>50</v>
      </c>
      <c r="P16" s="3">
        <v>0</v>
      </c>
      <c r="Q16" s="19" t="s">
        <v>89</v>
      </c>
      <c r="R16" s="1">
        <f>R4</f>
        <v>0.52359877559829882</v>
      </c>
      <c r="S16" s="21" t="s">
        <v>79</v>
      </c>
      <c r="T16" s="3">
        <v>7850</v>
      </c>
    </row>
    <row r="17" spans="1:20">
      <c r="A17" s="13" t="s">
        <v>14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>
      <c r="A18" s="7" t="s">
        <v>15</v>
      </c>
      <c r="B18" s="7">
        <f>B15*B16</f>
        <v>32</v>
      </c>
      <c r="C18" s="15" t="s">
        <v>16</v>
      </c>
      <c r="D18" s="7">
        <f>D15*B16</f>
        <v>0.8</v>
      </c>
      <c r="E18" s="16" t="s">
        <v>17</v>
      </c>
      <c r="F18" s="7">
        <f>F15*B16</f>
        <v>1</v>
      </c>
      <c r="G18" s="23" t="s">
        <v>18</v>
      </c>
      <c r="H18" s="7">
        <f>B21*H15/2</f>
        <v>1.2566370614359172</v>
      </c>
      <c r="I18" s="25" t="s">
        <v>19</v>
      </c>
      <c r="J18" s="7">
        <f>PI()/180*J15</f>
        <v>0.3490658503988659</v>
      </c>
      <c r="K18" s="26" t="s">
        <v>20</v>
      </c>
      <c r="L18" s="7">
        <f>L15*B16</f>
        <v>0.1888</v>
      </c>
      <c r="M18" s="26" t="s">
        <v>21</v>
      </c>
      <c r="N18" s="27">
        <f>N15</f>
        <v>8</v>
      </c>
      <c r="O18" s="26" t="s">
        <v>22</v>
      </c>
      <c r="P18" s="27">
        <f>B16*(P15^2+P16^2)^(1/2)</f>
        <v>0</v>
      </c>
      <c r="Q18" s="28"/>
      <c r="S18" s="21" t="s">
        <v>53</v>
      </c>
      <c r="T18" s="27">
        <f>T15*PI()*D20^2/10^2</f>
        <v>17.733662210983663</v>
      </c>
    </row>
    <row r="19" spans="1:20">
      <c r="A19" s="7" t="s">
        <v>23</v>
      </c>
      <c r="B19" s="7">
        <f>B18/2</f>
        <v>16</v>
      </c>
      <c r="C19" s="15" t="s">
        <v>24</v>
      </c>
      <c r="D19" s="7">
        <f>B18+D18*2</f>
        <v>33.6</v>
      </c>
      <c r="E19" s="16" t="s">
        <v>25</v>
      </c>
      <c r="F19" s="7">
        <f>B18-2*F18</f>
        <v>30</v>
      </c>
      <c r="G19" s="23" t="s">
        <v>26</v>
      </c>
      <c r="H19" s="7">
        <f>B21*(2-H15)/2</f>
        <v>1.2566370614359172</v>
      </c>
      <c r="I19" s="25" t="s">
        <v>27</v>
      </c>
      <c r="J19" s="7">
        <f>B18*COS(J18)</f>
        <v>30.07016386514907</v>
      </c>
      <c r="K19" s="26"/>
      <c r="L19" s="7"/>
      <c r="M19" s="26" t="s">
        <v>28</v>
      </c>
      <c r="N19" s="27">
        <f>N16</f>
        <v>10</v>
      </c>
      <c r="O19" s="26"/>
      <c r="P19" s="27"/>
      <c r="Q19" s="28"/>
      <c r="S19" s="21" t="s">
        <v>67</v>
      </c>
      <c r="T19" s="27">
        <f>PI()*T15*(B19^2-N20^2)/10^2</f>
        <v>14.514158059584846</v>
      </c>
    </row>
    <row r="20" spans="1:20">
      <c r="A20" s="7" t="s">
        <v>29</v>
      </c>
      <c r="B20" s="7">
        <f>B18*PI()</f>
        <v>100.53096491487338</v>
      </c>
      <c r="C20" s="15" t="s">
        <v>30</v>
      </c>
      <c r="D20" s="7">
        <f>D19/2</f>
        <v>16.8</v>
      </c>
      <c r="E20" s="16" t="s">
        <v>31</v>
      </c>
      <c r="F20" s="7">
        <f>F19/2</f>
        <v>15</v>
      </c>
      <c r="G20" s="23" t="s">
        <v>32</v>
      </c>
      <c r="H20" s="7">
        <f>B23/2*H15</f>
        <v>7.8539816339744828E-2</v>
      </c>
      <c r="I20" s="25" t="s">
        <v>33</v>
      </c>
      <c r="J20" s="7">
        <f>J19/2</f>
        <v>15.035081932574535</v>
      </c>
      <c r="K20" s="26"/>
      <c r="L20" s="7"/>
      <c r="M20" s="26" t="s">
        <v>82</v>
      </c>
      <c r="N20" s="27">
        <f>N19/2</f>
        <v>5</v>
      </c>
      <c r="O20" s="26"/>
      <c r="P20" s="27"/>
      <c r="Q20" s="28"/>
      <c r="S20" s="21" t="s">
        <v>71</v>
      </c>
      <c r="T20" s="27">
        <f>T19*T16</f>
        <v>113936.14076774103</v>
      </c>
    </row>
    <row r="21" spans="1:20">
      <c r="A21" s="7" t="s">
        <v>34</v>
      </c>
      <c r="B21" s="7">
        <f>B16*PI()</f>
        <v>2.5132741228718345</v>
      </c>
      <c r="C21" s="29" t="s">
        <v>35</v>
      </c>
      <c r="D21" s="7">
        <f>D19*PI()</f>
        <v>105.55751316061705</v>
      </c>
      <c r="E21" s="16" t="s">
        <v>36</v>
      </c>
      <c r="F21" s="7">
        <f>F19*PI()</f>
        <v>94.247779607693786</v>
      </c>
      <c r="G21" s="17" t="s">
        <v>37</v>
      </c>
      <c r="H21" s="7">
        <f>B23/2*(2-H15)</f>
        <v>7.8539816339744828E-2</v>
      </c>
      <c r="I21" s="25" t="s">
        <v>38</v>
      </c>
      <c r="J21" s="7">
        <f>J19*PI()</f>
        <v>94.468205890993573</v>
      </c>
      <c r="K21" s="26"/>
      <c r="L21" s="7"/>
      <c r="M21" s="26" t="s">
        <v>86</v>
      </c>
      <c r="N21" s="27">
        <f>(N16+N18)/2</f>
        <v>9</v>
      </c>
      <c r="O21" s="26"/>
      <c r="P21" s="27"/>
      <c r="Q21" s="28"/>
      <c r="S21" s="21" t="s">
        <v>68</v>
      </c>
      <c r="T21" s="27">
        <f>T20*(B19^2-N20^2)/(2*10^2)</f>
        <v>131596.24258674087</v>
      </c>
    </row>
    <row r="22" spans="1:20">
      <c r="A22" s="7" t="s">
        <v>39</v>
      </c>
      <c r="B22" s="7">
        <f>2.54/B16</f>
        <v>3.1749999999999998</v>
      </c>
      <c r="C22" s="15" t="s">
        <v>40</v>
      </c>
      <c r="D22" s="7">
        <f>D10</f>
        <v>2</v>
      </c>
      <c r="E22" s="30" t="s">
        <v>41</v>
      </c>
      <c r="F22" s="7">
        <f>F18+D18</f>
        <v>1.8</v>
      </c>
      <c r="G22" s="17"/>
      <c r="H22" s="7"/>
      <c r="I22" s="18" t="s">
        <v>111</v>
      </c>
      <c r="J22" s="7">
        <f>COS(J18)*B21</f>
        <v>2.3617051472748396</v>
      </c>
      <c r="K22" s="26"/>
      <c r="L22" s="7"/>
      <c r="M22" s="26" t="s">
        <v>90</v>
      </c>
      <c r="N22" s="27">
        <f>N21/2</f>
        <v>4.5</v>
      </c>
      <c r="O22" s="26"/>
      <c r="P22" s="27"/>
      <c r="Q22" s="28"/>
      <c r="S22" s="21" t="s">
        <v>84</v>
      </c>
      <c r="T22" s="27">
        <f>T20*V1/1000</f>
        <v>1116.5741795238623</v>
      </c>
    </row>
    <row r="23" spans="1:20">
      <c r="A23" s="7" t="s">
        <v>42</v>
      </c>
      <c r="B23" s="7">
        <f>2*PI()/B15</f>
        <v>0.15707963267948966</v>
      </c>
      <c r="C23" s="15"/>
      <c r="D23" s="7"/>
      <c r="E23" s="16" t="s">
        <v>43</v>
      </c>
      <c r="F23" s="7">
        <f>F18-D6</f>
        <v>0.19999999999999996</v>
      </c>
      <c r="G23" s="23"/>
      <c r="H23" s="7"/>
      <c r="I23" s="25"/>
      <c r="J23" s="7"/>
      <c r="K23" s="26"/>
      <c r="M23" s="26"/>
      <c r="N23" s="27"/>
      <c r="O23" s="26"/>
      <c r="P23" s="31"/>
      <c r="Q23" s="28"/>
      <c r="S23" s="21"/>
      <c r="T23" s="27"/>
    </row>
    <row r="25" spans="1:20" ht="27.5">
      <c r="A25" s="35" t="s">
        <v>45</v>
      </c>
      <c r="B25" s="36" t="s">
        <v>54</v>
      </c>
      <c r="C25" s="37" t="s">
        <v>87</v>
      </c>
      <c r="M25" s="71" t="s">
        <v>118</v>
      </c>
      <c r="N25" s="71"/>
      <c r="O25" s="71"/>
    </row>
    <row r="26" spans="1:20">
      <c r="A26" s="13" t="s">
        <v>58</v>
      </c>
      <c r="B26" s="14"/>
      <c r="C26" s="13" t="s">
        <v>59</v>
      </c>
      <c r="D26" s="14"/>
      <c r="E26" s="13" t="s">
        <v>99</v>
      </c>
      <c r="F26" s="13" t="s">
        <v>91</v>
      </c>
      <c r="G26" s="13" t="s">
        <v>92</v>
      </c>
      <c r="H26" s="13" t="s">
        <v>104</v>
      </c>
      <c r="I26" s="14"/>
      <c r="J26" s="13" t="s">
        <v>74</v>
      </c>
      <c r="K26" s="14"/>
      <c r="M26" s="13" t="s">
        <v>58</v>
      </c>
      <c r="N26" s="14"/>
      <c r="O26" s="13" t="s">
        <v>124</v>
      </c>
      <c r="P26" s="14"/>
      <c r="Q26" s="13" t="s">
        <v>134</v>
      </c>
      <c r="R26" s="14"/>
      <c r="S26" s="13" t="s">
        <v>137</v>
      </c>
      <c r="T26" s="14"/>
    </row>
    <row r="27" spans="1:20">
      <c r="A27" s="38" t="s">
        <v>63</v>
      </c>
      <c r="B27" s="4">
        <v>100</v>
      </c>
      <c r="C27" s="39" t="s">
        <v>64</v>
      </c>
      <c r="D27" s="4">
        <v>10</v>
      </c>
      <c r="E27" s="40" t="s">
        <v>98</v>
      </c>
      <c r="F27" s="4">
        <v>1E-3</v>
      </c>
      <c r="G27" s="4">
        <v>1E-3</v>
      </c>
      <c r="H27" s="41" t="s">
        <v>100</v>
      </c>
      <c r="I27" s="4">
        <v>0.1</v>
      </c>
      <c r="J27" s="42" t="s">
        <v>73</v>
      </c>
      <c r="K27" s="4">
        <v>0.996</v>
      </c>
      <c r="M27" s="43" t="s">
        <v>120</v>
      </c>
      <c r="N27" s="5">
        <v>690</v>
      </c>
      <c r="O27" s="44" t="s">
        <v>130</v>
      </c>
      <c r="P27" s="5">
        <v>300</v>
      </c>
      <c r="Q27" s="45" t="s">
        <v>135</v>
      </c>
      <c r="R27" s="46"/>
      <c r="S27" s="47" t="s">
        <v>138</v>
      </c>
      <c r="T27" s="5">
        <v>49</v>
      </c>
    </row>
    <row r="28" spans="1:20">
      <c r="A28" s="38" t="s">
        <v>62</v>
      </c>
      <c r="B28" s="1">
        <f>B27*B3/B15</f>
        <v>50</v>
      </c>
      <c r="C28" s="39"/>
      <c r="D28" s="20"/>
      <c r="E28" s="40"/>
      <c r="F28" s="20"/>
      <c r="G28" s="20"/>
      <c r="H28" s="48" t="s">
        <v>162</v>
      </c>
      <c r="I28" s="5">
        <v>0.03</v>
      </c>
      <c r="J28" s="50" t="s">
        <v>105</v>
      </c>
      <c r="K28" s="49">
        <f>1-I34-F36</f>
        <v>0.99651880116741087</v>
      </c>
      <c r="M28" s="43" t="s">
        <v>123</v>
      </c>
      <c r="N28" s="5">
        <v>4</v>
      </c>
      <c r="O28" s="44" t="s">
        <v>125</v>
      </c>
      <c r="P28" s="5">
        <v>1</v>
      </c>
      <c r="Q28" s="45" t="s">
        <v>136</v>
      </c>
      <c r="R28" s="46"/>
      <c r="S28" s="51"/>
    </row>
    <row r="29" spans="1:20">
      <c r="A29" s="13" t="s">
        <v>14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M29" s="13" t="s">
        <v>14</v>
      </c>
      <c r="N29" s="14"/>
      <c r="O29" s="14"/>
      <c r="P29" s="14"/>
      <c r="Q29" s="14"/>
      <c r="R29" s="14"/>
      <c r="S29" s="14"/>
      <c r="T29" s="14"/>
    </row>
    <row r="30" spans="1:20">
      <c r="A30" s="38" t="s">
        <v>55</v>
      </c>
      <c r="B30" s="1">
        <f>B27*B8/(60*1000)</f>
        <v>8.3775804095727824E-2</v>
      </c>
      <c r="C30" s="39" t="s">
        <v>65</v>
      </c>
      <c r="D30" s="1">
        <f>D27*B15/B3</f>
        <v>20</v>
      </c>
      <c r="E30" s="40" t="s">
        <v>119</v>
      </c>
      <c r="F30" s="1">
        <f>(D33^2+T10^2)^(1/2)</f>
        <v>467.24164031972754</v>
      </c>
      <c r="G30" s="1">
        <f>(D33^2+T22^2)^(1/2)</f>
        <v>1195.6235516217823</v>
      </c>
      <c r="H30" s="64" t="s">
        <v>161</v>
      </c>
      <c r="I30" s="65">
        <f>(I28-T32)/I28</f>
        <v>0.33333333333333331</v>
      </c>
      <c r="J30" s="42" t="s">
        <v>75</v>
      </c>
      <c r="K30" s="1">
        <f>D31*K27</f>
        <v>104.30087609918114</v>
      </c>
      <c r="M30" s="43" t="s">
        <v>121</v>
      </c>
      <c r="N30" s="1">
        <f>H7*T3</f>
        <v>2.5132741228718345</v>
      </c>
      <c r="O30" s="44" t="s">
        <v>131</v>
      </c>
      <c r="P30" s="1">
        <f>P27/P28</f>
        <v>300</v>
      </c>
      <c r="Q30" s="45"/>
      <c r="S30" s="47" t="s">
        <v>139</v>
      </c>
      <c r="T30" s="1">
        <f>B28</f>
        <v>50</v>
      </c>
    </row>
    <row r="31" spans="1:20">
      <c r="A31" s="38" t="s">
        <v>60</v>
      </c>
      <c r="B31" s="1">
        <f>B27*2*PI()/60</f>
        <v>10.471975511965978</v>
      </c>
      <c r="C31" s="39" t="s">
        <v>66</v>
      </c>
      <c r="D31" s="1">
        <f>D27*B31</f>
        <v>104.71975511965978</v>
      </c>
      <c r="E31" s="40" t="s">
        <v>93</v>
      </c>
      <c r="F31" s="1">
        <f>F30*F27</f>
        <v>0.46724164031972754</v>
      </c>
      <c r="G31" s="1">
        <f>G30*G27</f>
        <v>1.1956235516217824</v>
      </c>
      <c r="H31" s="41" t="s">
        <v>101</v>
      </c>
      <c r="I31" s="1">
        <f>I27*D32</f>
        <v>125</v>
      </c>
      <c r="J31" s="50" t="s">
        <v>106</v>
      </c>
      <c r="K31" s="1">
        <f>D31-F35-I33</f>
        <v>104.35540639448385</v>
      </c>
      <c r="M31" s="43" t="s">
        <v>122</v>
      </c>
      <c r="N31" s="1">
        <f>H19*T15</f>
        <v>2.5132741228718345</v>
      </c>
      <c r="O31" s="44"/>
      <c r="Q31" s="45"/>
      <c r="S31" s="51" t="s">
        <v>142</v>
      </c>
      <c r="T31" s="1">
        <f>T30-T27</f>
        <v>1</v>
      </c>
    </row>
    <row r="32" spans="1:20">
      <c r="A32" s="38" t="s">
        <v>61</v>
      </c>
      <c r="B32" s="1">
        <f>B31*B3/B15</f>
        <v>5.2359877559829888</v>
      </c>
      <c r="C32" s="39" t="s">
        <v>72</v>
      </c>
      <c r="D32" s="1">
        <f>D31/B30</f>
        <v>1250</v>
      </c>
      <c r="E32" s="40" t="s">
        <v>94</v>
      </c>
      <c r="F32" s="1">
        <f>F31*N10/1000</f>
        <v>2.1025873814387742E-3</v>
      </c>
      <c r="G32" s="1">
        <f>G31*N22/1000</f>
        <v>5.3803059822980209E-3</v>
      </c>
      <c r="H32" s="48" t="s">
        <v>102</v>
      </c>
      <c r="I32" s="1">
        <f>I28*B30</f>
        <v>2.5132741228718345E-3</v>
      </c>
      <c r="J32" s="52"/>
      <c r="K32" s="65">
        <f>(K27-K28)/K27</f>
        <v>-5.2088470623581939E-4</v>
      </c>
      <c r="M32" s="43" t="s">
        <v>128</v>
      </c>
      <c r="N32" s="1">
        <f>N30*N28*N27</f>
        <v>6936.6365791262633</v>
      </c>
      <c r="O32" s="44"/>
      <c r="Q32" s="45"/>
      <c r="S32" s="51" t="s">
        <v>140</v>
      </c>
      <c r="T32" s="1">
        <f>(T31)/T30</f>
        <v>0.02</v>
      </c>
    </row>
    <row r="33" spans="1:20">
      <c r="A33" s="38" t="s">
        <v>107</v>
      </c>
      <c r="B33" s="1">
        <f>B32/B31</f>
        <v>0.5</v>
      </c>
      <c r="C33" s="39" t="s">
        <v>85</v>
      </c>
      <c r="D33" s="1">
        <f>D32*SIN(J6)</f>
        <v>427.52517915708592</v>
      </c>
      <c r="E33" s="40" t="s">
        <v>95</v>
      </c>
      <c r="F33" s="1">
        <f>F32*B31</f>
        <v>2.2018243570195512E-2</v>
      </c>
      <c r="G33" s="1">
        <f>G32*B32</f>
        <v>2.8171216246754463E-2</v>
      </c>
      <c r="H33" s="48" t="s">
        <v>103</v>
      </c>
      <c r="I33" s="1">
        <f>I31*I32</f>
        <v>0.31415926535897931</v>
      </c>
      <c r="J33" s="52"/>
      <c r="M33" s="43" t="s">
        <v>129</v>
      </c>
      <c r="N33" s="1">
        <f>N31*N28*N27</f>
        <v>6936.6365791262633</v>
      </c>
      <c r="O33" s="44"/>
      <c r="Q33" s="45"/>
      <c r="S33" s="51" t="s">
        <v>141</v>
      </c>
      <c r="T33" s="1">
        <f>T31*B20/(60*1000)</f>
        <v>1.6755160819145562E-3</v>
      </c>
    </row>
    <row r="34" spans="1:20">
      <c r="A34" s="38" t="s">
        <v>108</v>
      </c>
      <c r="B34" s="46">
        <f>ATAN(J8/B7)*J8</f>
        <v>5.670608736348715</v>
      </c>
      <c r="C34" s="39" t="s">
        <v>114</v>
      </c>
      <c r="D34" s="1">
        <f>(T8+T20)/1000</f>
        <v>133.17211258567133</v>
      </c>
      <c r="E34" s="40"/>
      <c r="F34" s="67" t="s">
        <v>113</v>
      </c>
      <c r="G34" s="67"/>
      <c r="H34" s="48" t="s">
        <v>97</v>
      </c>
      <c r="I34" s="53">
        <f>I33/D31</f>
        <v>2.9999999999999996E-3</v>
      </c>
      <c r="J34" s="52"/>
      <c r="M34" s="43" t="s">
        <v>126</v>
      </c>
      <c r="N34" s="1">
        <f>N33*B7/1000</f>
        <v>55.493092633010107</v>
      </c>
      <c r="O34" s="44"/>
      <c r="Q34" s="45"/>
      <c r="S34" s="51"/>
    </row>
    <row r="35" spans="1:20">
      <c r="A35" s="38" t="s">
        <v>109</v>
      </c>
      <c r="B35" s="46">
        <f>ATAN(J20/B19)*J20</f>
        <v>11.34121747269743</v>
      </c>
      <c r="C35" s="39" t="s">
        <v>115</v>
      </c>
      <c r="D35" s="54">
        <f>T21/(B33*1000*100^2)</f>
        <v>2.6319248517348175E-2</v>
      </c>
      <c r="E35" s="40" t="s">
        <v>96</v>
      </c>
      <c r="F35" s="68">
        <f>F33+G33</f>
        <v>5.0189459816949972E-2</v>
      </c>
      <c r="G35" s="68"/>
      <c r="H35" s="48"/>
      <c r="J35" s="52"/>
      <c r="M35" s="43" t="s">
        <v>127</v>
      </c>
      <c r="N35" s="1">
        <f>N32*B19/1000</f>
        <v>110.98618526602021</v>
      </c>
      <c r="O35" s="44"/>
      <c r="Q35" s="45"/>
      <c r="S35" s="51"/>
    </row>
    <row r="36" spans="1:20">
      <c r="A36" s="38" t="s">
        <v>110</v>
      </c>
      <c r="B36" s="46">
        <f>(B34+B35)/2</f>
        <v>8.5059131045230725</v>
      </c>
      <c r="C36" s="39" t="s">
        <v>117</v>
      </c>
      <c r="D36" s="54">
        <f>D35+(T9/(1000*100^2))</f>
        <v>2.6694349967797817E-2</v>
      </c>
      <c r="E36" s="40" t="s">
        <v>97</v>
      </c>
      <c r="F36" s="69">
        <f>F35/K30</f>
        <v>4.8119883258913496E-4</v>
      </c>
      <c r="G36" s="69"/>
      <c r="H36" s="48"/>
      <c r="J36" s="52"/>
      <c r="M36" s="43"/>
      <c r="O36" s="44"/>
      <c r="Q36" s="45"/>
      <c r="S36" s="51"/>
    </row>
    <row r="37" spans="1:20">
      <c r="A37" s="38" t="s">
        <v>112</v>
      </c>
      <c r="B37" s="46">
        <f>B36/B9</f>
        <v>3.3843952902374412</v>
      </c>
      <c r="C37" s="39" t="s">
        <v>116</v>
      </c>
      <c r="D37" s="1">
        <f>D27/D36</f>
        <v>374.61110729661129</v>
      </c>
      <c r="E37" s="40" t="s">
        <v>75</v>
      </c>
      <c r="F37" s="70">
        <f>D31-F35</f>
        <v>104.66956565984283</v>
      </c>
      <c r="G37" s="70"/>
      <c r="H37" s="55"/>
      <c r="J37" s="52"/>
      <c r="M37" s="70" t="s">
        <v>132</v>
      </c>
      <c r="N37" s="70"/>
      <c r="O37" s="70" t="s">
        <v>133</v>
      </c>
      <c r="P37" s="70"/>
    </row>
    <row r="39" spans="1:20" ht="27.5">
      <c r="A39" s="56" t="s">
        <v>159</v>
      </c>
      <c r="B39" s="1" t="s">
        <v>146</v>
      </c>
      <c r="C39" s="1" t="s">
        <v>147</v>
      </c>
      <c r="J39" s="56" t="s">
        <v>159</v>
      </c>
      <c r="K39" s="1" t="s">
        <v>54</v>
      </c>
      <c r="L39" s="1" t="s">
        <v>147</v>
      </c>
    </row>
    <row r="40" spans="1:20">
      <c r="A40" s="13" t="s">
        <v>160</v>
      </c>
      <c r="B40" s="14"/>
      <c r="C40" s="12" t="s">
        <v>155</v>
      </c>
      <c r="D40" s="57"/>
      <c r="E40" s="12" t="s">
        <v>156</v>
      </c>
      <c r="F40" s="57"/>
      <c r="G40" s="13" t="s">
        <v>158</v>
      </c>
      <c r="H40" s="14"/>
      <c r="J40" s="13" t="s">
        <v>160</v>
      </c>
      <c r="K40" s="14"/>
      <c r="L40" s="12" t="s">
        <v>155</v>
      </c>
      <c r="M40" s="57"/>
      <c r="N40" s="12" t="s">
        <v>156</v>
      </c>
      <c r="O40" s="57"/>
      <c r="P40" s="13" t="s">
        <v>158</v>
      </c>
      <c r="Q40" s="14"/>
    </row>
    <row r="41" spans="1:20">
      <c r="A41" s="58" t="s">
        <v>180</v>
      </c>
      <c r="B41" s="1">
        <f>N3</f>
        <v>8</v>
      </c>
      <c r="C41" s="59" t="s">
        <v>143</v>
      </c>
      <c r="D41" s="4">
        <v>1</v>
      </c>
      <c r="E41" s="60" t="s">
        <v>150</v>
      </c>
      <c r="F41" s="4">
        <v>0.5</v>
      </c>
      <c r="G41" s="61" t="s">
        <v>163</v>
      </c>
      <c r="H41" s="1">
        <f>B27*N3/(60*1000)</f>
        <v>1.3333333333333334E-2</v>
      </c>
      <c r="J41" s="58" t="s">
        <v>180</v>
      </c>
      <c r="K41" s="1">
        <f>N15</f>
        <v>8</v>
      </c>
      <c r="L41" s="59" t="s">
        <v>143</v>
      </c>
      <c r="M41" s="4">
        <v>1</v>
      </c>
      <c r="N41" s="60" t="s">
        <v>150</v>
      </c>
      <c r="O41" s="4">
        <v>0.5</v>
      </c>
      <c r="P41" s="61" t="s">
        <v>163</v>
      </c>
      <c r="Q41" s="1">
        <f>T27*N15/(60*1000)</f>
        <v>6.5333333333333337E-3</v>
      </c>
    </row>
    <row r="42" spans="1:20">
      <c r="A42" s="58" t="s">
        <v>181</v>
      </c>
      <c r="B42" s="5">
        <v>0</v>
      </c>
      <c r="C42" s="59" t="s">
        <v>144</v>
      </c>
      <c r="D42" s="4">
        <v>2</v>
      </c>
      <c r="E42" s="60" t="s">
        <v>153</v>
      </c>
      <c r="F42" s="4">
        <v>600</v>
      </c>
      <c r="G42" s="62" t="s">
        <v>164</v>
      </c>
      <c r="H42" s="1">
        <f>D31/H41</f>
        <v>7853.981633974483</v>
      </c>
      <c r="J42" s="58" t="s">
        <v>181</v>
      </c>
      <c r="K42" s="5">
        <v>0</v>
      </c>
      <c r="L42" s="59" t="s">
        <v>144</v>
      </c>
      <c r="M42" s="4">
        <v>2</v>
      </c>
      <c r="N42" s="60" t="s">
        <v>153</v>
      </c>
      <c r="O42" s="4">
        <v>600</v>
      </c>
      <c r="P42" s="62" t="s">
        <v>164</v>
      </c>
      <c r="Q42" s="1">
        <f>D31/Q41</f>
        <v>16028.533946886701</v>
      </c>
    </row>
    <row r="43" spans="1:20">
      <c r="A43" s="12" t="s">
        <v>157</v>
      </c>
      <c r="B43" s="14"/>
      <c r="C43" s="14"/>
      <c r="D43" s="63"/>
      <c r="E43" s="63"/>
      <c r="F43" s="63"/>
      <c r="G43" s="63"/>
      <c r="H43" s="63"/>
      <c r="J43" s="12" t="s">
        <v>157</v>
      </c>
      <c r="K43" s="14"/>
      <c r="L43" s="14"/>
      <c r="M43" s="63"/>
      <c r="N43" s="63"/>
      <c r="O43" s="63"/>
      <c r="P43" s="63"/>
      <c r="Q43" s="63"/>
    </row>
    <row r="44" spans="1:20">
      <c r="A44" s="58" t="s">
        <v>183</v>
      </c>
      <c r="B44" s="1">
        <f>B41/2</f>
        <v>4</v>
      </c>
      <c r="C44" s="59" t="s">
        <v>145</v>
      </c>
      <c r="D44" s="1">
        <f>T3</f>
        <v>2</v>
      </c>
      <c r="E44" s="60" t="s">
        <v>151</v>
      </c>
      <c r="F44" s="1">
        <f>D41-F41</f>
        <v>0.5</v>
      </c>
      <c r="G44" s="61" t="s">
        <v>166</v>
      </c>
      <c r="H44" s="1">
        <f>H42/F41/D44</f>
        <v>7853.981633974483</v>
      </c>
      <c r="J44" s="58" t="s">
        <v>183</v>
      </c>
      <c r="K44" s="1">
        <f>K41/2</f>
        <v>4</v>
      </c>
      <c r="L44" s="59" t="s">
        <v>145</v>
      </c>
      <c r="M44" s="1">
        <f>T15</f>
        <v>2</v>
      </c>
      <c r="N44" s="60" t="s">
        <v>151</v>
      </c>
      <c r="O44" s="1">
        <f>M41-O41</f>
        <v>0.5</v>
      </c>
      <c r="P44" s="61" t="s">
        <v>166</v>
      </c>
      <c r="Q44" s="1">
        <f>Q42/O41/M44</f>
        <v>16028.533946886701</v>
      </c>
    </row>
    <row r="45" spans="1:20">
      <c r="A45" s="58" t="s">
        <v>182</v>
      </c>
      <c r="B45" s="1">
        <f>PI()*B44^2</f>
        <v>50.26548245743669</v>
      </c>
      <c r="C45" s="59" t="s">
        <v>148</v>
      </c>
      <c r="D45" s="1">
        <f>D41*D42*D44</f>
        <v>4</v>
      </c>
      <c r="E45" s="60" t="s">
        <v>152</v>
      </c>
      <c r="F45" s="1">
        <f>F44*D42*+D44</f>
        <v>2</v>
      </c>
      <c r="G45" s="62" t="s">
        <v>165</v>
      </c>
      <c r="H45" s="1">
        <f>H42/D44/D42</f>
        <v>1963.4954084936207</v>
      </c>
      <c r="J45" s="58" t="s">
        <v>182</v>
      </c>
      <c r="K45" s="1">
        <f>PI()*K44^2</f>
        <v>50.26548245743669</v>
      </c>
      <c r="L45" s="59" t="s">
        <v>148</v>
      </c>
      <c r="M45" s="1">
        <f>M41*M42*M44</f>
        <v>4</v>
      </c>
      <c r="N45" s="60" t="s">
        <v>152</v>
      </c>
      <c r="O45" s="1">
        <f>O44*M42*+M44</f>
        <v>2</v>
      </c>
      <c r="P45" s="62" t="s">
        <v>165</v>
      </c>
      <c r="Q45" s="1">
        <f>Q42/M44/M42</f>
        <v>4007.1334867216751</v>
      </c>
    </row>
    <row r="46" spans="1:20">
      <c r="A46" s="58"/>
      <c r="C46" s="59" t="s">
        <v>149</v>
      </c>
      <c r="D46" s="1">
        <f>D41/N3</f>
        <v>0.125</v>
      </c>
      <c r="E46" s="60" t="s">
        <v>154</v>
      </c>
      <c r="F46" s="1">
        <f>F42*D45</f>
        <v>2400</v>
      </c>
      <c r="G46" s="62"/>
      <c r="J46" s="58"/>
      <c r="L46" s="59" t="s">
        <v>149</v>
      </c>
      <c r="M46" s="1">
        <f>M41/N15</f>
        <v>0.125</v>
      </c>
      <c r="N46" s="60" t="s">
        <v>154</v>
      </c>
      <c r="O46" s="1">
        <f>O42*M45</f>
        <v>2400</v>
      </c>
      <c r="P46" s="62"/>
    </row>
    <row r="48" spans="1:20" ht="27.5">
      <c r="A48" s="66" t="s">
        <v>168</v>
      </c>
    </row>
    <row r="49" spans="1:7">
      <c r="A49" s="14" t="s">
        <v>167</v>
      </c>
      <c r="B49" s="14" t="s">
        <v>179</v>
      </c>
      <c r="C49" s="14" t="s">
        <v>177</v>
      </c>
      <c r="D49" s="14" t="s">
        <v>178</v>
      </c>
      <c r="E49" s="14" t="s">
        <v>169</v>
      </c>
      <c r="F49" s="14" t="s">
        <v>175</v>
      </c>
      <c r="G49" s="14" t="s">
        <v>176</v>
      </c>
    </row>
    <row r="50" spans="1:7">
      <c r="A50" s="14" t="s">
        <v>170</v>
      </c>
      <c r="B50" s="1">
        <v>7.85</v>
      </c>
      <c r="C50" s="1">
        <v>690</v>
      </c>
      <c r="D50" s="1">
        <v>500</v>
      </c>
      <c r="E50" s="1">
        <v>0.6</v>
      </c>
      <c r="F50" s="1">
        <v>0.1</v>
      </c>
      <c r="G50" s="1">
        <v>0.5</v>
      </c>
    </row>
    <row r="51" spans="1:7">
      <c r="A51" s="14" t="s">
        <v>171</v>
      </c>
      <c r="B51" s="1">
        <v>2.7</v>
      </c>
      <c r="C51" s="1">
        <v>150</v>
      </c>
      <c r="D51" s="1">
        <v>150</v>
      </c>
      <c r="E51" s="1">
        <v>0.5</v>
      </c>
      <c r="F51" s="1">
        <v>0.2</v>
      </c>
      <c r="G51" s="1">
        <v>0.3</v>
      </c>
    </row>
    <row r="52" spans="1:7">
      <c r="A52" s="14" t="s">
        <v>172</v>
      </c>
      <c r="B52" s="1">
        <v>8.9600000000000009</v>
      </c>
      <c r="C52" s="1">
        <v>220</v>
      </c>
      <c r="D52" s="1">
        <v>300</v>
      </c>
      <c r="E52" s="1">
        <v>0.4</v>
      </c>
      <c r="F52" s="1">
        <v>0.15</v>
      </c>
      <c r="G52" s="1">
        <v>0.8</v>
      </c>
    </row>
    <row r="53" spans="1:7">
      <c r="A53" s="14" t="s">
        <v>173</v>
      </c>
      <c r="B53" s="1">
        <v>1.25</v>
      </c>
      <c r="C53" s="1">
        <v>70</v>
      </c>
      <c r="D53" s="1">
        <v>40</v>
      </c>
      <c r="E53" s="1">
        <v>0.3</v>
      </c>
      <c r="F53" s="1">
        <v>0.04</v>
      </c>
      <c r="G53" s="1">
        <v>0.15</v>
      </c>
    </row>
    <row r="54" spans="1:7">
      <c r="A54" s="14" t="s">
        <v>174</v>
      </c>
      <c r="B54" s="1">
        <v>1.5</v>
      </c>
      <c r="C54" s="1">
        <v>7000</v>
      </c>
      <c r="D54" s="1">
        <v>3500</v>
      </c>
      <c r="E54" s="1">
        <v>0.1</v>
      </c>
      <c r="F54" s="1">
        <v>0.02</v>
      </c>
      <c r="G54" s="1">
        <v>5.5</v>
      </c>
    </row>
  </sheetData>
  <sheetProtection sheet="1" objects="1" scenarios="1"/>
  <mergeCells count="7">
    <mergeCell ref="F34:G34"/>
    <mergeCell ref="F35:G35"/>
    <mergeCell ref="F36:G36"/>
    <mergeCell ref="F37:G37"/>
    <mergeCell ref="M25:O25"/>
    <mergeCell ref="M37:N37"/>
    <mergeCell ref="O37:P37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A3B85-6A3B-404E-BF6C-B8327CC6EEE7}">
  <dimension ref="A1:V54"/>
  <sheetViews>
    <sheetView topLeftCell="A23" zoomScale="84" workbookViewId="0">
      <selection activeCell="H47" sqref="H47"/>
    </sheetView>
  </sheetViews>
  <sheetFormatPr defaultColWidth="8.796875" defaultRowHeight="14.5"/>
  <cols>
    <col min="1" max="1" width="19" style="1" customWidth="1"/>
    <col min="2" max="2" width="14.69921875" style="1" customWidth="1"/>
    <col min="3" max="3" width="19.69921875" style="1" customWidth="1"/>
    <col min="4" max="4" width="14.8984375" style="1" customWidth="1"/>
    <col min="5" max="5" width="16.69921875" style="1" customWidth="1"/>
    <col min="6" max="6" width="15.5" style="1" customWidth="1"/>
    <col min="7" max="7" width="17.69921875" style="1" customWidth="1"/>
    <col min="8" max="8" width="21.09765625" style="1" customWidth="1"/>
    <col min="9" max="9" width="15.69921875" style="1" customWidth="1"/>
    <col min="10" max="10" width="17.8984375" style="1" customWidth="1"/>
    <col min="11" max="11" width="14.59765625" style="1" customWidth="1"/>
    <col min="12" max="12" width="10.5" style="1" customWidth="1"/>
    <col min="13" max="13" width="16.3984375" style="1" customWidth="1"/>
    <col min="14" max="14" width="8.796875" style="1"/>
    <col min="15" max="15" width="16.09765625" style="1" customWidth="1"/>
    <col min="16" max="16" width="8.796875" style="1"/>
    <col min="17" max="17" width="16" style="1" customWidth="1"/>
    <col min="18" max="18" width="12.59765625" style="1" bestFit="1" customWidth="1"/>
    <col min="19" max="19" width="16" style="1" customWidth="1"/>
    <col min="20" max="20" width="12.59765625" style="1" bestFit="1" customWidth="1"/>
    <col min="21" max="21" width="15.3984375" style="1" customWidth="1"/>
    <col min="22" max="16384" width="8.796875" style="1"/>
  </cols>
  <sheetData>
    <row r="1" spans="1:22" ht="27.5">
      <c r="A1" s="6" t="s">
        <v>0</v>
      </c>
      <c r="B1" s="7"/>
      <c r="C1" s="8" t="s">
        <v>54</v>
      </c>
      <c r="D1" s="8" t="s">
        <v>69</v>
      </c>
      <c r="E1" s="8" t="s">
        <v>57</v>
      </c>
      <c r="F1" s="8" t="s">
        <v>56</v>
      </c>
      <c r="G1" s="8"/>
      <c r="H1" s="8"/>
      <c r="K1" s="9"/>
      <c r="L1" s="7"/>
      <c r="M1" s="7"/>
      <c r="N1" s="7"/>
      <c r="O1" s="7"/>
      <c r="P1" s="7"/>
      <c r="S1" s="10" t="s">
        <v>54</v>
      </c>
      <c r="T1" s="10" t="s">
        <v>88</v>
      </c>
      <c r="U1" s="10" t="s">
        <v>83</v>
      </c>
      <c r="V1" s="11">
        <v>9.8000000000000007</v>
      </c>
    </row>
    <row r="2" spans="1:22">
      <c r="A2" s="12" t="s">
        <v>1</v>
      </c>
      <c r="B2" s="12"/>
      <c r="C2" s="12" t="s">
        <v>2</v>
      </c>
      <c r="D2" s="12"/>
      <c r="E2" s="12" t="s">
        <v>3</v>
      </c>
      <c r="F2" s="12"/>
      <c r="G2" s="12" t="s">
        <v>4</v>
      </c>
      <c r="H2" s="12"/>
      <c r="I2" s="12" t="s">
        <v>5</v>
      </c>
      <c r="J2" s="12"/>
      <c r="K2" s="12" t="s">
        <v>6</v>
      </c>
      <c r="L2" s="12"/>
      <c r="M2" s="13" t="s">
        <v>7</v>
      </c>
      <c r="N2" s="13"/>
      <c r="O2" s="13" t="s">
        <v>8</v>
      </c>
      <c r="P2" s="14"/>
      <c r="Q2" s="13" t="s">
        <v>80</v>
      </c>
      <c r="R2" s="14"/>
      <c r="S2" s="13" t="s">
        <v>70</v>
      </c>
      <c r="T2" s="14"/>
    </row>
    <row r="3" spans="1:22">
      <c r="A3" s="7" t="s">
        <v>9</v>
      </c>
      <c r="B3" s="2">
        <v>20</v>
      </c>
      <c r="C3" s="15" t="s">
        <v>10</v>
      </c>
      <c r="D3" s="2">
        <v>1</v>
      </c>
      <c r="E3" s="16" t="s">
        <v>11</v>
      </c>
      <c r="F3" s="2">
        <v>1.25</v>
      </c>
      <c r="G3" s="17" t="s">
        <v>12</v>
      </c>
      <c r="H3" s="2">
        <v>1</v>
      </c>
      <c r="I3" s="18" t="s">
        <v>52</v>
      </c>
      <c r="J3" s="2">
        <v>20</v>
      </c>
      <c r="K3" s="19" t="s">
        <v>13</v>
      </c>
      <c r="L3" s="2">
        <v>0.23599999999999999</v>
      </c>
      <c r="M3" s="19" t="s">
        <v>77</v>
      </c>
      <c r="N3" s="3">
        <v>8</v>
      </c>
      <c r="O3" s="19" t="s">
        <v>49</v>
      </c>
      <c r="P3" s="3">
        <v>0.1</v>
      </c>
      <c r="Q3" s="19" t="s">
        <v>81</v>
      </c>
      <c r="R3" s="4">
        <v>30</v>
      </c>
      <c r="S3" s="21" t="s">
        <v>51</v>
      </c>
      <c r="T3" s="3">
        <v>1</v>
      </c>
    </row>
    <row r="4" spans="1:22">
      <c r="A4" s="22" t="s">
        <v>78</v>
      </c>
      <c r="B4" s="2">
        <v>1</v>
      </c>
      <c r="C4" s="15" t="s">
        <v>47</v>
      </c>
      <c r="D4" s="7">
        <v>1</v>
      </c>
      <c r="E4" s="16" t="s">
        <v>46</v>
      </c>
      <c r="F4" s="7">
        <v>1.25</v>
      </c>
      <c r="G4" s="23" t="s">
        <v>46</v>
      </c>
      <c r="H4" s="24" t="s">
        <v>48</v>
      </c>
      <c r="I4" s="25" t="s">
        <v>46</v>
      </c>
      <c r="J4" s="7">
        <v>20</v>
      </c>
      <c r="K4" s="26" t="s">
        <v>46</v>
      </c>
      <c r="L4" s="7">
        <v>0.23599999999999999</v>
      </c>
      <c r="M4" s="26" t="s">
        <v>76</v>
      </c>
      <c r="N4" s="3">
        <v>10</v>
      </c>
      <c r="O4" s="26" t="s">
        <v>50</v>
      </c>
      <c r="P4" s="3">
        <v>0.1</v>
      </c>
      <c r="Q4" s="19" t="s">
        <v>89</v>
      </c>
      <c r="R4" s="1">
        <f>R3*PI()/180</f>
        <v>0.52359877559829882</v>
      </c>
      <c r="S4" s="21" t="s">
        <v>79</v>
      </c>
      <c r="T4" s="3">
        <v>7850</v>
      </c>
    </row>
    <row r="5" spans="1:22">
      <c r="A5" s="13" t="s">
        <v>14</v>
      </c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spans="1:22">
      <c r="A6" s="7" t="s">
        <v>15</v>
      </c>
      <c r="B6" s="7">
        <f>B3*B4</f>
        <v>20</v>
      </c>
      <c r="C6" s="15" t="s">
        <v>16</v>
      </c>
      <c r="D6" s="7">
        <f>D3*B4</f>
        <v>1</v>
      </c>
      <c r="E6" s="16" t="s">
        <v>17</v>
      </c>
      <c r="F6" s="7">
        <f>F3*B4</f>
        <v>1.25</v>
      </c>
      <c r="G6" s="23" t="s">
        <v>18</v>
      </c>
      <c r="H6" s="7">
        <f>B9*H3/2</f>
        <v>1.5707963267948966</v>
      </c>
      <c r="I6" s="25" t="s">
        <v>19</v>
      </c>
      <c r="J6" s="7">
        <f>PI()/180*J3</f>
        <v>0.3490658503988659</v>
      </c>
      <c r="K6" s="26" t="s">
        <v>20</v>
      </c>
      <c r="L6" s="7">
        <f>L3*B4</f>
        <v>0.23599999999999999</v>
      </c>
      <c r="M6" s="26" t="s">
        <v>21</v>
      </c>
      <c r="N6" s="27">
        <f>N3</f>
        <v>8</v>
      </c>
      <c r="O6" s="26" t="s">
        <v>22</v>
      </c>
      <c r="P6" s="27">
        <f>B4*(P3^2+P4^2)^(1/2)</f>
        <v>0.14142135623730953</v>
      </c>
      <c r="Q6" s="28"/>
      <c r="S6" s="21" t="s">
        <v>53</v>
      </c>
      <c r="T6" s="27">
        <f>T3*PI()*D8^2/10^2</f>
        <v>3.8013271108436499</v>
      </c>
    </row>
    <row r="7" spans="1:22">
      <c r="A7" s="7" t="s">
        <v>23</v>
      </c>
      <c r="B7" s="7">
        <f>B6/2</f>
        <v>10</v>
      </c>
      <c r="C7" s="15" t="s">
        <v>24</v>
      </c>
      <c r="D7" s="7">
        <f>B6+D6*2</f>
        <v>22</v>
      </c>
      <c r="E7" s="16" t="s">
        <v>25</v>
      </c>
      <c r="F7" s="7">
        <f>B6-2*F6</f>
        <v>17.5</v>
      </c>
      <c r="G7" s="23" t="s">
        <v>26</v>
      </c>
      <c r="H7" s="7">
        <f>B9*(2-H3)/2</f>
        <v>1.5707963267948966</v>
      </c>
      <c r="I7" s="25" t="s">
        <v>27</v>
      </c>
      <c r="J7" s="7">
        <f>B6*COS(J6)</f>
        <v>18.79385241571817</v>
      </c>
      <c r="K7" s="26"/>
      <c r="L7" s="7"/>
      <c r="M7" s="26" t="s">
        <v>28</v>
      </c>
      <c r="N7" s="27">
        <f>N4</f>
        <v>10</v>
      </c>
      <c r="O7" s="26"/>
      <c r="P7" s="27"/>
      <c r="Q7" s="28"/>
      <c r="S7" s="21" t="s">
        <v>67</v>
      </c>
      <c r="T7" s="27">
        <f>PI()*T3*(B7^2-N8^2)/10^2</f>
        <v>2.3561944901923448</v>
      </c>
    </row>
    <row r="8" spans="1:22">
      <c r="A8" s="7" t="s">
        <v>29</v>
      </c>
      <c r="B8" s="7">
        <f>B6*PI()</f>
        <v>62.831853071795862</v>
      </c>
      <c r="C8" s="15" t="s">
        <v>30</v>
      </c>
      <c r="D8" s="7">
        <f>D7/2</f>
        <v>11</v>
      </c>
      <c r="E8" s="16" t="s">
        <v>31</v>
      </c>
      <c r="F8" s="7">
        <f>F7/2</f>
        <v>8.75</v>
      </c>
      <c r="G8" s="23" t="s">
        <v>32</v>
      </c>
      <c r="H8" s="7">
        <f>B11/2*H3</f>
        <v>0.15707963267948966</v>
      </c>
      <c r="I8" s="25" t="s">
        <v>33</v>
      </c>
      <c r="J8" s="7">
        <f>J7/2</f>
        <v>9.3969262078590852</v>
      </c>
      <c r="K8" s="26"/>
      <c r="L8" s="7"/>
      <c r="M8" s="26" t="s">
        <v>82</v>
      </c>
      <c r="N8" s="27">
        <f>N7/2</f>
        <v>5</v>
      </c>
      <c r="O8" s="26"/>
      <c r="P8" s="27"/>
      <c r="Q8" s="28"/>
      <c r="S8" s="21" t="s">
        <v>71</v>
      </c>
      <c r="T8" s="27">
        <f>T7*T4</f>
        <v>18496.126748009909</v>
      </c>
    </row>
    <row r="9" spans="1:22">
      <c r="A9" s="7" t="s">
        <v>34</v>
      </c>
      <c r="B9" s="7">
        <f>B4*PI()</f>
        <v>3.1415926535897931</v>
      </c>
      <c r="C9" s="29" t="s">
        <v>35</v>
      </c>
      <c r="D9" s="7">
        <f>D7*PI()</f>
        <v>69.115038378975441</v>
      </c>
      <c r="E9" s="16" t="s">
        <v>36</v>
      </c>
      <c r="F9" s="7">
        <f>F7*PI()</f>
        <v>54.977871437821378</v>
      </c>
      <c r="G9" s="17" t="s">
        <v>37</v>
      </c>
      <c r="H9" s="7">
        <f>B11/2*(2-H3)</f>
        <v>0.15707963267948966</v>
      </c>
      <c r="I9" s="25" t="s">
        <v>38</v>
      </c>
      <c r="J9" s="7">
        <f>J7*PI()</f>
        <v>59.042628681870987</v>
      </c>
      <c r="K9" s="26"/>
      <c r="L9" s="7"/>
      <c r="M9" s="26" t="s">
        <v>86</v>
      </c>
      <c r="N9" s="27">
        <f>(N4+N6)/2</f>
        <v>9</v>
      </c>
      <c r="O9" s="26"/>
      <c r="P9" s="27"/>
      <c r="Q9" s="28"/>
      <c r="S9" s="21" t="s">
        <v>68</v>
      </c>
      <c r="T9" s="27">
        <f>T8*(B7^2-N8^2)/(2*10^2)</f>
        <v>6936.0475305037153</v>
      </c>
    </row>
    <row r="10" spans="1:22">
      <c r="A10" s="7" t="s">
        <v>39</v>
      </c>
      <c r="B10" s="7">
        <f>2.54/B4</f>
        <v>2.54</v>
      </c>
      <c r="C10" s="15" t="s">
        <v>40</v>
      </c>
      <c r="D10" s="7">
        <f>D3+D15</f>
        <v>2</v>
      </c>
      <c r="E10" s="30" t="s">
        <v>41</v>
      </c>
      <c r="F10" s="7">
        <f>F6+D6</f>
        <v>2.25</v>
      </c>
      <c r="G10" s="17"/>
      <c r="H10" s="7"/>
      <c r="I10" s="18" t="s">
        <v>111</v>
      </c>
      <c r="J10" s="7">
        <f>COS(J6)*B9</f>
        <v>2.9521314340935492</v>
      </c>
      <c r="K10" s="26"/>
      <c r="L10" s="7"/>
      <c r="M10" s="26" t="s">
        <v>90</v>
      </c>
      <c r="N10" s="27">
        <f>N9/2</f>
        <v>4.5</v>
      </c>
      <c r="O10" s="26"/>
      <c r="P10" s="27"/>
      <c r="Q10" s="28"/>
      <c r="S10" s="21" t="s">
        <v>84</v>
      </c>
      <c r="T10" s="27">
        <f>T8*V1/1000</f>
        <v>181.26204213049712</v>
      </c>
    </row>
    <row r="11" spans="1:22">
      <c r="A11" s="7" t="s">
        <v>42</v>
      </c>
      <c r="B11" s="7">
        <f>2*PI()/B3</f>
        <v>0.31415926535897931</v>
      </c>
      <c r="C11" s="15"/>
      <c r="D11" s="7"/>
      <c r="E11" s="16" t="s">
        <v>43</v>
      </c>
      <c r="F11" s="7">
        <f>F6-D18</f>
        <v>0.25</v>
      </c>
      <c r="G11" s="23"/>
      <c r="H11" s="7"/>
      <c r="I11" s="25"/>
      <c r="J11" s="7"/>
      <c r="K11" s="26"/>
      <c r="M11" s="26"/>
      <c r="N11" s="27"/>
      <c r="O11" s="26"/>
      <c r="P11" s="31"/>
      <c r="Q11" s="28"/>
      <c r="S11" s="21"/>
      <c r="T11" s="27"/>
    </row>
    <row r="12" spans="1:22">
      <c r="G12" s="32"/>
      <c r="I12" s="33"/>
      <c r="K12" s="33"/>
      <c r="M12" s="33"/>
      <c r="N12" s="32"/>
      <c r="O12" s="33"/>
      <c r="P12" s="33"/>
      <c r="S12" s="33"/>
      <c r="T12" s="32"/>
    </row>
    <row r="13" spans="1:22" ht="27.5">
      <c r="A13" s="6" t="s">
        <v>44</v>
      </c>
    </row>
    <row r="14" spans="1:22">
      <c r="A14" s="12" t="s">
        <v>1</v>
      </c>
      <c r="B14" s="12"/>
      <c r="C14" s="12" t="s">
        <v>2</v>
      </c>
      <c r="D14" s="12"/>
      <c r="E14" s="12" t="s">
        <v>3</v>
      </c>
      <c r="F14" s="12"/>
      <c r="G14" s="12" t="s">
        <v>4</v>
      </c>
      <c r="H14" s="12"/>
      <c r="I14" s="12" t="s">
        <v>5</v>
      </c>
      <c r="J14" s="12"/>
      <c r="K14" s="12" t="s">
        <v>6</v>
      </c>
      <c r="L14" s="12"/>
      <c r="M14" s="13" t="s">
        <v>7</v>
      </c>
      <c r="N14" s="13"/>
      <c r="O14" s="13" t="s">
        <v>8</v>
      </c>
      <c r="P14" s="14"/>
      <c r="Q14" s="13" t="s">
        <v>80</v>
      </c>
      <c r="R14" s="14"/>
      <c r="S14" s="13" t="s">
        <v>70</v>
      </c>
      <c r="T14" s="14"/>
    </row>
    <row r="15" spans="1:22">
      <c r="A15" s="7" t="s">
        <v>9</v>
      </c>
      <c r="B15" s="2">
        <v>20</v>
      </c>
      <c r="C15" s="15" t="s">
        <v>10</v>
      </c>
      <c r="D15" s="2">
        <v>1</v>
      </c>
      <c r="E15" s="16" t="s">
        <v>11</v>
      </c>
      <c r="F15" s="2">
        <v>1.25</v>
      </c>
      <c r="G15" s="17" t="s">
        <v>12</v>
      </c>
      <c r="H15" s="34">
        <f>2-H3</f>
        <v>1</v>
      </c>
      <c r="I15" s="18" t="s">
        <v>52</v>
      </c>
      <c r="J15" s="7">
        <f>J3</f>
        <v>20</v>
      </c>
      <c r="K15" s="19" t="s">
        <v>13</v>
      </c>
      <c r="L15" s="2">
        <v>0.23599999999999999</v>
      </c>
      <c r="M15" s="19" t="s">
        <v>77</v>
      </c>
      <c r="N15" s="3">
        <v>8</v>
      </c>
      <c r="O15" s="19" t="s">
        <v>49</v>
      </c>
      <c r="P15" s="3">
        <v>0.1</v>
      </c>
      <c r="Q15" s="19" t="s">
        <v>81</v>
      </c>
      <c r="R15" s="1">
        <f>-R3</f>
        <v>-30</v>
      </c>
      <c r="S15" s="21" t="s">
        <v>51</v>
      </c>
      <c r="T15" s="3">
        <v>1</v>
      </c>
    </row>
    <row r="16" spans="1:22">
      <c r="A16" s="22" t="s">
        <v>78</v>
      </c>
      <c r="B16" s="7">
        <f>B4</f>
        <v>1</v>
      </c>
      <c r="C16" s="15" t="s">
        <v>47</v>
      </c>
      <c r="D16" s="7">
        <v>1</v>
      </c>
      <c r="E16" s="16" t="s">
        <v>46</v>
      </c>
      <c r="F16" s="7">
        <v>1.25</v>
      </c>
      <c r="G16" s="23"/>
      <c r="H16" s="7"/>
      <c r="I16" s="25"/>
      <c r="J16" s="7"/>
      <c r="K16" s="26" t="s">
        <v>46</v>
      </c>
      <c r="L16" s="7">
        <v>0.23599999999999999</v>
      </c>
      <c r="M16" s="26" t="s">
        <v>76</v>
      </c>
      <c r="N16" s="3">
        <v>10</v>
      </c>
      <c r="O16" s="26" t="s">
        <v>50</v>
      </c>
      <c r="P16" s="3">
        <v>0.1</v>
      </c>
      <c r="Q16" s="19" t="s">
        <v>89</v>
      </c>
      <c r="R16" s="1">
        <f>R4</f>
        <v>0.52359877559829882</v>
      </c>
      <c r="S16" s="21" t="s">
        <v>79</v>
      </c>
      <c r="T16" s="3">
        <v>7850</v>
      </c>
    </row>
    <row r="17" spans="1:20">
      <c r="A17" s="13" t="s">
        <v>14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>
      <c r="A18" s="7" t="s">
        <v>15</v>
      </c>
      <c r="B18" s="7">
        <f>B15*B16</f>
        <v>20</v>
      </c>
      <c r="C18" s="15" t="s">
        <v>16</v>
      </c>
      <c r="D18" s="7">
        <f>D15*B16</f>
        <v>1</v>
      </c>
      <c r="E18" s="16" t="s">
        <v>17</v>
      </c>
      <c r="F18" s="7">
        <f>F15*B16</f>
        <v>1.25</v>
      </c>
      <c r="G18" s="23" t="s">
        <v>18</v>
      </c>
      <c r="H18" s="7">
        <f>B21*H15/2</f>
        <v>1.5707963267948966</v>
      </c>
      <c r="I18" s="25" t="s">
        <v>19</v>
      </c>
      <c r="J18" s="7">
        <f>PI()/180*J15</f>
        <v>0.3490658503988659</v>
      </c>
      <c r="K18" s="26" t="s">
        <v>20</v>
      </c>
      <c r="L18" s="7">
        <f>L15*B16</f>
        <v>0.23599999999999999</v>
      </c>
      <c r="M18" s="26" t="s">
        <v>21</v>
      </c>
      <c r="N18" s="27">
        <f>N15</f>
        <v>8</v>
      </c>
      <c r="O18" s="26" t="s">
        <v>22</v>
      </c>
      <c r="P18" s="27">
        <f>B16*(P15^2+P16^2)^(1/2)</f>
        <v>0.14142135623730953</v>
      </c>
      <c r="Q18" s="28"/>
      <c r="S18" s="21" t="s">
        <v>53</v>
      </c>
      <c r="T18" s="27">
        <f>T15*PI()*D20^2/10^2</f>
        <v>3.8013271108436499</v>
      </c>
    </row>
    <row r="19" spans="1:20">
      <c r="A19" s="7" t="s">
        <v>23</v>
      </c>
      <c r="B19" s="7">
        <f>B18/2</f>
        <v>10</v>
      </c>
      <c r="C19" s="15" t="s">
        <v>24</v>
      </c>
      <c r="D19" s="7">
        <f>B18+D18*2</f>
        <v>22</v>
      </c>
      <c r="E19" s="16" t="s">
        <v>25</v>
      </c>
      <c r="F19" s="7">
        <f>B18-2*F18</f>
        <v>17.5</v>
      </c>
      <c r="G19" s="23" t="s">
        <v>26</v>
      </c>
      <c r="H19" s="7">
        <f>B21*(2-H15)/2</f>
        <v>1.5707963267948966</v>
      </c>
      <c r="I19" s="25" t="s">
        <v>27</v>
      </c>
      <c r="J19" s="7">
        <f>B18*COS(J18)</f>
        <v>18.79385241571817</v>
      </c>
      <c r="K19" s="26"/>
      <c r="L19" s="7"/>
      <c r="M19" s="26" t="s">
        <v>28</v>
      </c>
      <c r="N19" s="27">
        <f>N16</f>
        <v>10</v>
      </c>
      <c r="O19" s="26"/>
      <c r="P19" s="27"/>
      <c r="Q19" s="28"/>
      <c r="S19" s="21" t="s">
        <v>67</v>
      </c>
      <c r="T19" s="27">
        <f>PI()*T15*(B19^2-N20^2)/10^2</f>
        <v>2.3561944901923448</v>
      </c>
    </row>
    <row r="20" spans="1:20">
      <c r="A20" s="7" t="s">
        <v>29</v>
      </c>
      <c r="B20" s="7">
        <f>B18*PI()</f>
        <v>62.831853071795862</v>
      </c>
      <c r="C20" s="15" t="s">
        <v>30</v>
      </c>
      <c r="D20" s="7">
        <f>D19/2</f>
        <v>11</v>
      </c>
      <c r="E20" s="16" t="s">
        <v>31</v>
      </c>
      <c r="F20" s="7">
        <f>F19/2</f>
        <v>8.75</v>
      </c>
      <c r="G20" s="23" t="s">
        <v>32</v>
      </c>
      <c r="H20" s="7">
        <f>B23/2*H15</f>
        <v>0.15707963267948966</v>
      </c>
      <c r="I20" s="25" t="s">
        <v>33</v>
      </c>
      <c r="J20" s="7">
        <f>J19/2</f>
        <v>9.3969262078590852</v>
      </c>
      <c r="K20" s="26"/>
      <c r="L20" s="7"/>
      <c r="M20" s="26" t="s">
        <v>82</v>
      </c>
      <c r="N20" s="27">
        <f>N19/2</f>
        <v>5</v>
      </c>
      <c r="O20" s="26"/>
      <c r="P20" s="27"/>
      <c r="Q20" s="28"/>
      <c r="S20" s="21" t="s">
        <v>71</v>
      </c>
      <c r="T20" s="27">
        <f>T19*T16</f>
        <v>18496.126748009909</v>
      </c>
    </row>
    <row r="21" spans="1:20">
      <c r="A21" s="7" t="s">
        <v>34</v>
      </c>
      <c r="B21" s="7">
        <f>B16*PI()</f>
        <v>3.1415926535897931</v>
      </c>
      <c r="C21" s="29" t="s">
        <v>35</v>
      </c>
      <c r="D21" s="7">
        <f>D19*PI()</f>
        <v>69.115038378975441</v>
      </c>
      <c r="E21" s="16" t="s">
        <v>36</v>
      </c>
      <c r="F21" s="7">
        <f>F19*PI()</f>
        <v>54.977871437821378</v>
      </c>
      <c r="G21" s="17" t="s">
        <v>37</v>
      </c>
      <c r="H21" s="7">
        <f>B23/2*(2-H15)</f>
        <v>0.15707963267948966</v>
      </c>
      <c r="I21" s="25" t="s">
        <v>38</v>
      </c>
      <c r="J21" s="7">
        <f>J19*PI()</f>
        <v>59.042628681870987</v>
      </c>
      <c r="K21" s="26"/>
      <c r="L21" s="7"/>
      <c r="M21" s="26" t="s">
        <v>86</v>
      </c>
      <c r="N21" s="27">
        <f>(N16+N18)/2</f>
        <v>9</v>
      </c>
      <c r="O21" s="26"/>
      <c r="P21" s="27"/>
      <c r="Q21" s="28"/>
      <c r="S21" s="21" t="s">
        <v>68</v>
      </c>
      <c r="T21" s="27">
        <f>T20*(B19^2-N20^2)/(2*10^2)</f>
        <v>6936.0475305037153</v>
      </c>
    </row>
    <row r="22" spans="1:20">
      <c r="A22" s="7" t="s">
        <v>39</v>
      </c>
      <c r="B22" s="7">
        <f>2.54/B16</f>
        <v>2.54</v>
      </c>
      <c r="C22" s="15" t="s">
        <v>40</v>
      </c>
      <c r="D22" s="7">
        <f>D10</f>
        <v>2</v>
      </c>
      <c r="E22" s="30" t="s">
        <v>41</v>
      </c>
      <c r="F22" s="7">
        <f>F18+D18</f>
        <v>2.25</v>
      </c>
      <c r="G22" s="17"/>
      <c r="H22" s="7"/>
      <c r="I22" s="18" t="s">
        <v>111</v>
      </c>
      <c r="J22" s="7">
        <f>COS(J18)*B21</f>
        <v>2.9521314340935492</v>
      </c>
      <c r="K22" s="26"/>
      <c r="L22" s="7"/>
      <c r="M22" s="26" t="s">
        <v>90</v>
      </c>
      <c r="N22" s="27">
        <f>N21/2</f>
        <v>4.5</v>
      </c>
      <c r="O22" s="26"/>
      <c r="P22" s="27"/>
      <c r="Q22" s="28"/>
      <c r="S22" s="21" t="s">
        <v>84</v>
      </c>
      <c r="T22" s="27">
        <f>T20*V1/1000</f>
        <v>181.26204213049712</v>
      </c>
    </row>
    <row r="23" spans="1:20">
      <c r="A23" s="7" t="s">
        <v>42</v>
      </c>
      <c r="B23" s="7">
        <f>2*PI()/B15</f>
        <v>0.31415926535897931</v>
      </c>
      <c r="C23" s="15"/>
      <c r="D23" s="7"/>
      <c r="E23" s="16" t="s">
        <v>43</v>
      </c>
      <c r="F23" s="7">
        <f>F18-D6</f>
        <v>0.25</v>
      </c>
      <c r="G23" s="23"/>
      <c r="H23" s="7"/>
      <c r="I23" s="25"/>
      <c r="J23" s="7"/>
      <c r="K23" s="26"/>
      <c r="M23" s="26"/>
      <c r="N23" s="27"/>
      <c r="O23" s="26"/>
      <c r="P23" s="31"/>
      <c r="Q23" s="28"/>
      <c r="S23" s="21"/>
      <c r="T23" s="27"/>
    </row>
    <row r="25" spans="1:20" ht="27.5">
      <c r="A25" s="35" t="s">
        <v>45</v>
      </c>
      <c r="B25" s="36" t="s">
        <v>54</v>
      </c>
      <c r="C25" s="37" t="s">
        <v>87</v>
      </c>
      <c r="M25" s="71" t="s">
        <v>118</v>
      </c>
      <c r="N25" s="71"/>
      <c r="O25" s="71"/>
    </row>
    <row r="26" spans="1:20">
      <c r="A26" s="13" t="s">
        <v>58</v>
      </c>
      <c r="B26" s="14"/>
      <c r="C26" s="13" t="s">
        <v>59</v>
      </c>
      <c r="D26" s="14"/>
      <c r="E26" s="13" t="s">
        <v>99</v>
      </c>
      <c r="F26" s="13" t="s">
        <v>91</v>
      </c>
      <c r="G26" s="13" t="s">
        <v>92</v>
      </c>
      <c r="H26" s="13" t="s">
        <v>104</v>
      </c>
      <c r="I26" s="14"/>
      <c r="J26" s="13" t="s">
        <v>74</v>
      </c>
      <c r="K26" s="14"/>
      <c r="M26" s="13" t="s">
        <v>58</v>
      </c>
      <c r="N26" s="14"/>
      <c r="O26" s="13" t="s">
        <v>124</v>
      </c>
      <c r="P26" s="14"/>
      <c r="Q26" s="13" t="s">
        <v>134</v>
      </c>
      <c r="R26" s="14"/>
      <c r="S26" s="13" t="s">
        <v>137</v>
      </c>
      <c r="T26" s="14"/>
    </row>
    <row r="27" spans="1:20">
      <c r="A27" s="38" t="s">
        <v>63</v>
      </c>
      <c r="B27" s="4">
        <v>100</v>
      </c>
      <c r="C27" s="39" t="s">
        <v>64</v>
      </c>
      <c r="D27" s="4">
        <v>10</v>
      </c>
      <c r="E27" s="40" t="s">
        <v>98</v>
      </c>
      <c r="F27" s="4">
        <v>1E-3</v>
      </c>
      <c r="G27" s="4">
        <v>1E-3</v>
      </c>
      <c r="H27" s="41" t="s">
        <v>100</v>
      </c>
      <c r="I27" s="4">
        <v>0.1</v>
      </c>
      <c r="J27" s="42" t="s">
        <v>73</v>
      </c>
      <c r="K27" s="4">
        <v>0.996</v>
      </c>
      <c r="M27" s="43" t="s">
        <v>120</v>
      </c>
      <c r="N27" s="5">
        <v>600</v>
      </c>
      <c r="O27" s="44" t="s">
        <v>130</v>
      </c>
      <c r="P27" s="5">
        <v>300</v>
      </c>
      <c r="Q27" s="45" t="s">
        <v>135</v>
      </c>
      <c r="R27" s="46"/>
      <c r="S27" s="47" t="s">
        <v>138</v>
      </c>
      <c r="T27" s="5">
        <v>4912.2809999999999</v>
      </c>
    </row>
    <row r="28" spans="1:20">
      <c r="A28" s="38" t="s">
        <v>62</v>
      </c>
      <c r="B28" s="1">
        <f>B27*B3/B15</f>
        <v>100</v>
      </c>
      <c r="C28" s="39"/>
      <c r="D28" s="20"/>
      <c r="E28" s="40"/>
      <c r="F28" s="20"/>
      <c r="G28" s="20"/>
      <c r="H28" s="48" t="s">
        <v>162</v>
      </c>
      <c r="I28" s="5">
        <v>0.03</v>
      </c>
      <c r="J28" s="50" t="s">
        <v>105</v>
      </c>
      <c r="K28" s="49">
        <f>1-I34-F36</f>
        <v>0.99665022567085737</v>
      </c>
      <c r="M28" s="43" t="s">
        <v>123</v>
      </c>
      <c r="N28" s="5">
        <v>4</v>
      </c>
      <c r="O28" s="44" t="s">
        <v>125</v>
      </c>
      <c r="P28" s="5">
        <v>1</v>
      </c>
      <c r="Q28" s="45" t="s">
        <v>136</v>
      </c>
      <c r="R28" s="46"/>
      <c r="S28" s="51"/>
    </row>
    <row r="29" spans="1:20">
      <c r="A29" s="13" t="s">
        <v>14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M29" s="13" t="s">
        <v>14</v>
      </c>
      <c r="N29" s="14"/>
      <c r="O29" s="14"/>
      <c r="P29" s="14"/>
      <c r="Q29" s="14"/>
      <c r="R29" s="14"/>
      <c r="S29" s="14"/>
      <c r="T29" s="14"/>
    </row>
    <row r="30" spans="1:20">
      <c r="A30" s="38" t="s">
        <v>55</v>
      </c>
      <c r="B30" s="1">
        <f>B27*B8/(60*1000)</f>
        <v>0.10471975511965977</v>
      </c>
      <c r="C30" s="39" t="s">
        <v>65</v>
      </c>
      <c r="D30" s="1">
        <f>D27*B15/B3</f>
        <v>10</v>
      </c>
      <c r="E30" s="40" t="s">
        <v>119</v>
      </c>
      <c r="F30" s="1">
        <f>(D33^2+T10^2)^(1/2)</f>
        <v>387.08359091781335</v>
      </c>
      <c r="G30" s="1">
        <f>(D33^2+T22^2)^(1/2)</f>
        <v>387.08359091781335</v>
      </c>
      <c r="H30" s="64" t="s">
        <v>161</v>
      </c>
      <c r="I30" s="65">
        <f>(I28-T32)/I28</f>
        <v>1605.0936666666669</v>
      </c>
      <c r="J30" s="42" t="s">
        <v>75</v>
      </c>
      <c r="K30" s="1">
        <f>D31*K27</f>
        <v>104.30087609918114</v>
      </c>
      <c r="M30" s="43" t="s">
        <v>121</v>
      </c>
      <c r="N30" s="1">
        <f>H7*T3</f>
        <v>1.5707963267948966</v>
      </c>
      <c r="O30" s="44" t="s">
        <v>131</v>
      </c>
      <c r="P30" s="1">
        <f>P27/P28</f>
        <v>300</v>
      </c>
      <c r="Q30" s="45"/>
      <c r="S30" s="47" t="s">
        <v>139</v>
      </c>
      <c r="T30" s="1">
        <f>B28</f>
        <v>100</v>
      </c>
    </row>
    <row r="31" spans="1:20">
      <c r="A31" s="38" t="s">
        <v>60</v>
      </c>
      <c r="B31" s="1">
        <f>B27*2*PI()/60</f>
        <v>10.471975511965978</v>
      </c>
      <c r="C31" s="39" t="s">
        <v>66</v>
      </c>
      <c r="D31" s="1">
        <f>D27*B31</f>
        <v>104.71975511965978</v>
      </c>
      <c r="E31" s="40" t="s">
        <v>93</v>
      </c>
      <c r="F31" s="1">
        <f>F30*F27</f>
        <v>0.38708359091781336</v>
      </c>
      <c r="G31" s="1">
        <f>G30*G27</f>
        <v>0.38708359091781336</v>
      </c>
      <c r="H31" s="41" t="s">
        <v>101</v>
      </c>
      <c r="I31" s="1">
        <f>I27*D32</f>
        <v>100.00000000000001</v>
      </c>
      <c r="J31" s="50" t="s">
        <v>106</v>
      </c>
      <c r="K31" s="1">
        <f>D31-F35-I33</f>
        <v>104.36911408533422</v>
      </c>
      <c r="M31" s="43" t="s">
        <v>122</v>
      </c>
      <c r="N31" s="1">
        <f>H19*T15</f>
        <v>1.5707963267948966</v>
      </c>
      <c r="O31" s="44"/>
      <c r="Q31" s="45"/>
      <c r="S31" s="51" t="s">
        <v>142</v>
      </c>
      <c r="T31" s="1">
        <f>T30-T27</f>
        <v>-4812.2809999999999</v>
      </c>
    </row>
    <row r="32" spans="1:20">
      <c r="A32" s="38" t="s">
        <v>61</v>
      </c>
      <c r="B32" s="1">
        <f>B31*B3/B15</f>
        <v>10.471975511965978</v>
      </c>
      <c r="C32" s="39" t="s">
        <v>72</v>
      </c>
      <c r="D32" s="1">
        <f>D31/B30</f>
        <v>1000.0000000000001</v>
      </c>
      <c r="E32" s="40" t="s">
        <v>94</v>
      </c>
      <c r="F32" s="1">
        <f>F31*N10/1000</f>
        <v>1.7418761591301601E-3</v>
      </c>
      <c r="G32" s="1">
        <f>G31*N22/1000</f>
        <v>1.7418761591301601E-3</v>
      </c>
      <c r="H32" s="48" t="s">
        <v>102</v>
      </c>
      <c r="I32" s="1">
        <f>I28*B30</f>
        <v>3.1415926535897929E-3</v>
      </c>
      <c r="J32" s="52"/>
      <c r="K32" s="65">
        <f>(K27-K28)/K27</f>
        <v>-6.5283701893310636E-4</v>
      </c>
      <c r="M32" s="43" t="s">
        <v>128</v>
      </c>
      <c r="N32" s="1">
        <f>N30*N28*N27</f>
        <v>3769.9111843077517</v>
      </c>
      <c r="O32" s="44"/>
      <c r="Q32" s="45"/>
      <c r="S32" s="51" t="s">
        <v>140</v>
      </c>
      <c r="T32" s="1">
        <f>(T31)/T30</f>
        <v>-48.122810000000001</v>
      </c>
    </row>
    <row r="33" spans="1:20">
      <c r="A33" s="38" t="s">
        <v>107</v>
      </c>
      <c r="B33" s="1">
        <f>B32/B31</f>
        <v>1</v>
      </c>
      <c r="C33" s="39" t="s">
        <v>85</v>
      </c>
      <c r="D33" s="1">
        <f>D32*SIN(J6)</f>
        <v>342.02014332566876</v>
      </c>
      <c r="E33" s="40" t="s">
        <v>95</v>
      </c>
      <c r="F33" s="1">
        <f>F32*B31</f>
        <v>1.8240884483288387E-2</v>
      </c>
      <c r="G33" s="1">
        <f>G32*B32</f>
        <v>1.8240884483288387E-2</v>
      </c>
      <c r="H33" s="48" t="s">
        <v>103</v>
      </c>
      <c r="I33" s="1">
        <f>I31*I32</f>
        <v>0.31415926535897931</v>
      </c>
      <c r="J33" s="52"/>
      <c r="M33" s="43" t="s">
        <v>129</v>
      </c>
      <c r="N33" s="1">
        <f>N31*N28*N27</f>
        <v>3769.9111843077517</v>
      </c>
      <c r="O33" s="44"/>
      <c r="Q33" s="45"/>
      <c r="S33" s="51" t="s">
        <v>141</v>
      </c>
      <c r="T33" s="1">
        <f>T31*B20/(60*1000)</f>
        <v>-5.0394088788699145</v>
      </c>
    </row>
    <row r="34" spans="1:20">
      <c r="A34" s="38" t="s">
        <v>108</v>
      </c>
      <c r="B34" s="46">
        <f>ATAN(J8/B7)*J8</f>
        <v>7.0882609204358955</v>
      </c>
      <c r="C34" s="39" t="s">
        <v>114</v>
      </c>
      <c r="D34" s="1">
        <f>(T8+T20)/1000</f>
        <v>36.992253496019821</v>
      </c>
      <c r="E34" s="40"/>
      <c r="F34" s="67" t="s">
        <v>113</v>
      </c>
      <c r="G34" s="67"/>
      <c r="H34" s="48" t="s">
        <v>97</v>
      </c>
      <c r="I34" s="53">
        <f>I33/D31</f>
        <v>2.9999999999999996E-3</v>
      </c>
      <c r="J34" s="52"/>
      <c r="M34" s="43" t="s">
        <v>126</v>
      </c>
      <c r="N34" s="1">
        <f>N33*B7/1000</f>
        <v>37.699111843077517</v>
      </c>
      <c r="O34" s="44"/>
      <c r="Q34" s="45"/>
      <c r="S34" s="51"/>
    </row>
    <row r="35" spans="1:20">
      <c r="A35" s="38" t="s">
        <v>109</v>
      </c>
      <c r="B35" s="46">
        <f>ATAN(J20/B19)*J20</f>
        <v>7.0882609204358955</v>
      </c>
      <c r="C35" s="39" t="s">
        <v>115</v>
      </c>
      <c r="D35" s="54">
        <f>T21/(B33*1000*100^2)</f>
        <v>6.9360475305037153E-4</v>
      </c>
      <c r="E35" s="40" t="s">
        <v>96</v>
      </c>
      <c r="F35" s="68">
        <f>F33+G33</f>
        <v>3.6481768966576775E-2</v>
      </c>
      <c r="G35" s="68"/>
      <c r="H35" s="48"/>
      <c r="J35" s="52"/>
      <c r="M35" s="43" t="s">
        <v>127</v>
      </c>
      <c r="N35" s="1">
        <f>N32*B19/1000</f>
        <v>37.699111843077517</v>
      </c>
      <c r="O35" s="44"/>
      <c r="Q35" s="45"/>
      <c r="S35" s="51"/>
    </row>
    <row r="36" spans="1:20">
      <c r="A36" s="38" t="s">
        <v>110</v>
      </c>
      <c r="B36" s="46">
        <f>(B34+B35)/2</f>
        <v>7.0882609204358955</v>
      </c>
      <c r="C36" s="39" t="s">
        <v>117</v>
      </c>
      <c r="D36" s="54">
        <f>D35+(T9/(1000*100^2))</f>
        <v>1.3872095061007431E-3</v>
      </c>
      <c r="E36" s="40" t="s">
        <v>97</v>
      </c>
      <c r="F36" s="69">
        <f>F35/K30</f>
        <v>3.497743291426024E-4</v>
      </c>
      <c r="G36" s="69"/>
      <c r="H36" s="48"/>
      <c r="J36" s="52"/>
      <c r="M36" s="43"/>
      <c r="O36" s="44"/>
      <c r="Q36" s="45"/>
      <c r="S36" s="51"/>
    </row>
    <row r="37" spans="1:20">
      <c r="A37" s="38" t="s">
        <v>112</v>
      </c>
      <c r="B37" s="46">
        <f>B36/B9</f>
        <v>2.2562635268249611</v>
      </c>
      <c r="C37" s="39" t="s">
        <v>116</v>
      </c>
      <c r="D37" s="1">
        <f>D27/D36</f>
        <v>7208.7164599301495</v>
      </c>
      <c r="E37" s="40" t="s">
        <v>75</v>
      </c>
      <c r="F37" s="70">
        <f>D31-F35</f>
        <v>104.6832733506932</v>
      </c>
      <c r="G37" s="70"/>
      <c r="H37" s="55"/>
      <c r="J37" s="52"/>
      <c r="M37" s="70" t="s">
        <v>132</v>
      </c>
      <c r="N37" s="70"/>
      <c r="O37" s="70" t="s">
        <v>133</v>
      </c>
      <c r="P37" s="70"/>
    </row>
    <row r="39" spans="1:20" ht="27.5">
      <c r="A39" s="56" t="s">
        <v>159</v>
      </c>
      <c r="B39" s="1" t="s">
        <v>54</v>
      </c>
      <c r="C39" s="1" t="s">
        <v>147</v>
      </c>
      <c r="J39" s="56" t="s">
        <v>159</v>
      </c>
      <c r="K39" s="1" t="s">
        <v>54</v>
      </c>
      <c r="L39" s="1" t="s">
        <v>147</v>
      </c>
    </row>
    <row r="40" spans="1:20">
      <c r="A40" s="13" t="s">
        <v>160</v>
      </c>
      <c r="B40" s="14"/>
      <c r="C40" s="12" t="s">
        <v>155</v>
      </c>
      <c r="D40" s="57"/>
      <c r="E40" s="12" t="s">
        <v>156</v>
      </c>
      <c r="F40" s="57"/>
      <c r="G40" s="13" t="s">
        <v>158</v>
      </c>
      <c r="H40" s="14"/>
      <c r="J40" s="13" t="s">
        <v>160</v>
      </c>
      <c r="K40" s="14"/>
      <c r="L40" s="12" t="s">
        <v>155</v>
      </c>
      <c r="M40" s="57"/>
      <c r="N40" s="12" t="s">
        <v>156</v>
      </c>
      <c r="O40" s="57"/>
      <c r="P40" s="13" t="s">
        <v>158</v>
      </c>
      <c r="Q40" s="14"/>
    </row>
    <row r="41" spans="1:20">
      <c r="A41" s="58" t="s">
        <v>180</v>
      </c>
      <c r="B41" s="1">
        <f>N3</f>
        <v>8</v>
      </c>
      <c r="C41" s="59" t="s">
        <v>143</v>
      </c>
      <c r="D41" s="4">
        <v>3</v>
      </c>
      <c r="E41" s="60" t="s">
        <v>150</v>
      </c>
      <c r="F41" s="4">
        <v>1.5</v>
      </c>
      <c r="G41" s="61" t="s">
        <v>163</v>
      </c>
      <c r="H41" s="1">
        <f>B27*N3/(60*1000)</f>
        <v>1.3333333333333334E-2</v>
      </c>
      <c r="J41" s="58" t="s">
        <v>180</v>
      </c>
      <c r="K41" s="1">
        <f>N15</f>
        <v>8</v>
      </c>
      <c r="L41" s="59" t="s">
        <v>143</v>
      </c>
      <c r="M41" s="4">
        <v>3</v>
      </c>
      <c r="N41" s="60" t="s">
        <v>150</v>
      </c>
      <c r="O41" s="4">
        <v>1.5</v>
      </c>
      <c r="P41" s="61" t="s">
        <v>163</v>
      </c>
      <c r="Q41" s="1">
        <f>T27*N15/(60*1000)</f>
        <v>0.65497079999999996</v>
      </c>
    </row>
    <row r="42" spans="1:20">
      <c r="A42" s="58" t="s">
        <v>181</v>
      </c>
      <c r="B42" s="5">
        <v>0.01</v>
      </c>
      <c r="C42" s="59" t="s">
        <v>144</v>
      </c>
      <c r="D42" s="4">
        <v>2</v>
      </c>
      <c r="E42" s="60" t="s">
        <v>153</v>
      </c>
      <c r="F42" s="4">
        <v>550</v>
      </c>
      <c r="G42" s="62" t="s">
        <v>164</v>
      </c>
      <c r="H42" s="1">
        <f>D31/H41</f>
        <v>7853.981633974483</v>
      </c>
      <c r="J42" s="58" t="s">
        <v>181</v>
      </c>
      <c r="K42" s="5">
        <v>0.01</v>
      </c>
      <c r="L42" s="59" t="s">
        <v>144</v>
      </c>
      <c r="M42" s="4">
        <v>2</v>
      </c>
      <c r="N42" s="60" t="s">
        <v>153</v>
      </c>
      <c r="O42" s="4">
        <v>550</v>
      </c>
      <c r="P42" s="62" t="s">
        <v>164</v>
      </c>
      <c r="Q42" s="1">
        <f>D31/Q41</f>
        <v>159.88461641291457</v>
      </c>
    </row>
    <row r="43" spans="1:20">
      <c r="A43" s="12" t="s">
        <v>157</v>
      </c>
      <c r="B43" s="14"/>
      <c r="C43" s="14"/>
      <c r="D43" s="63"/>
      <c r="E43" s="63"/>
      <c r="F43" s="63"/>
      <c r="G43" s="63"/>
      <c r="H43" s="63"/>
      <c r="J43" s="12" t="s">
        <v>157</v>
      </c>
      <c r="K43" s="14"/>
      <c r="L43" s="14"/>
      <c r="M43" s="63"/>
      <c r="N43" s="63"/>
      <c r="O43" s="63"/>
      <c r="P43" s="63"/>
      <c r="Q43" s="63"/>
    </row>
    <row r="44" spans="1:20">
      <c r="A44" s="58" t="s">
        <v>183</v>
      </c>
      <c r="B44" s="1">
        <f>B41/2</f>
        <v>4</v>
      </c>
      <c r="C44" s="59" t="s">
        <v>145</v>
      </c>
      <c r="D44" s="1">
        <f>T3</f>
        <v>1</v>
      </c>
      <c r="E44" s="60" t="s">
        <v>151</v>
      </c>
      <c r="F44" s="1">
        <f>D41-F41</f>
        <v>1.5</v>
      </c>
      <c r="G44" s="61" t="s">
        <v>166</v>
      </c>
      <c r="H44" s="1">
        <f>H42/F41/D44</f>
        <v>5235.9877559829883</v>
      </c>
      <c r="J44" s="58" t="s">
        <v>183</v>
      </c>
      <c r="K44" s="1">
        <f>K41/2</f>
        <v>4</v>
      </c>
      <c r="L44" s="59" t="s">
        <v>145</v>
      </c>
      <c r="M44" s="1">
        <f>T15</f>
        <v>1</v>
      </c>
      <c r="N44" s="60" t="s">
        <v>151</v>
      </c>
      <c r="O44" s="1">
        <f>M41-O41</f>
        <v>1.5</v>
      </c>
      <c r="P44" s="61" t="s">
        <v>166</v>
      </c>
      <c r="Q44" s="1">
        <f>Q42/O41/M44</f>
        <v>106.58974427527637</v>
      </c>
    </row>
    <row r="45" spans="1:20">
      <c r="A45" s="58" t="s">
        <v>182</v>
      </c>
      <c r="B45" s="1">
        <f>PI()*B44^2</f>
        <v>50.26548245743669</v>
      </c>
      <c r="C45" s="59" t="s">
        <v>148</v>
      </c>
      <c r="D45" s="1">
        <f>D41*D42*D44</f>
        <v>6</v>
      </c>
      <c r="E45" s="60" t="s">
        <v>152</v>
      </c>
      <c r="F45" s="1">
        <f>F44*D42*+D44</f>
        <v>3</v>
      </c>
      <c r="G45" s="62" t="s">
        <v>165</v>
      </c>
      <c r="H45" s="1">
        <f>H42/D44/D42</f>
        <v>3926.9908169872415</v>
      </c>
      <c r="J45" s="58" t="s">
        <v>182</v>
      </c>
      <c r="K45" s="1">
        <f>PI()*K44^2</f>
        <v>50.26548245743669</v>
      </c>
      <c r="L45" s="59" t="s">
        <v>148</v>
      </c>
      <c r="M45" s="1">
        <f>M41*M42*M44</f>
        <v>6</v>
      </c>
      <c r="N45" s="60" t="s">
        <v>152</v>
      </c>
      <c r="O45" s="1">
        <f>O44*M42*+M44</f>
        <v>3</v>
      </c>
      <c r="P45" s="62" t="s">
        <v>165</v>
      </c>
      <c r="Q45" s="1">
        <f>Q42/M44/M42</f>
        <v>79.942308206457284</v>
      </c>
    </row>
    <row r="46" spans="1:20">
      <c r="A46" s="58"/>
      <c r="C46" s="59" t="s">
        <v>149</v>
      </c>
      <c r="D46" s="1">
        <f>D41/N3</f>
        <v>0.375</v>
      </c>
      <c r="E46" s="60" t="s">
        <v>154</v>
      </c>
      <c r="F46" s="1">
        <f>F42*D45</f>
        <v>3300</v>
      </c>
      <c r="G46" s="62"/>
      <c r="J46" s="58"/>
      <c r="L46" s="59" t="s">
        <v>149</v>
      </c>
      <c r="M46" s="1">
        <f>M41/N15</f>
        <v>0.375</v>
      </c>
      <c r="N46" s="60" t="s">
        <v>154</v>
      </c>
      <c r="O46" s="1">
        <f>O42*M45</f>
        <v>3300</v>
      </c>
      <c r="P46" s="62"/>
    </row>
    <row r="48" spans="1:20" ht="27.5">
      <c r="A48" s="66" t="s">
        <v>168</v>
      </c>
    </row>
    <row r="49" spans="1:7">
      <c r="A49" s="14" t="s">
        <v>167</v>
      </c>
      <c r="B49" s="14" t="s">
        <v>179</v>
      </c>
      <c r="C49" s="14" t="s">
        <v>177</v>
      </c>
      <c r="D49" s="14" t="s">
        <v>178</v>
      </c>
      <c r="E49" s="14" t="s">
        <v>169</v>
      </c>
      <c r="F49" s="14" t="s">
        <v>175</v>
      </c>
      <c r="G49" s="14" t="s">
        <v>176</v>
      </c>
    </row>
    <row r="50" spans="1:7">
      <c r="A50" s="14" t="s">
        <v>170</v>
      </c>
      <c r="B50" s="1">
        <v>7.85</v>
      </c>
      <c r="C50" s="1">
        <v>690</v>
      </c>
      <c r="D50" s="1">
        <v>500</v>
      </c>
      <c r="E50" s="1">
        <v>0.6</v>
      </c>
      <c r="F50" s="1">
        <v>0.1</v>
      </c>
      <c r="G50" s="1">
        <v>0.5</v>
      </c>
    </row>
    <row r="51" spans="1:7">
      <c r="A51" s="14" t="s">
        <v>171</v>
      </c>
      <c r="B51" s="1">
        <v>2.7</v>
      </c>
      <c r="C51" s="1">
        <v>150</v>
      </c>
      <c r="D51" s="1">
        <v>150</v>
      </c>
      <c r="E51" s="1">
        <v>0.5</v>
      </c>
      <c r="F51" s="1">
        <v>0.2</v>
      </c>
      <c r="G51" s="1">
        <v>0.3</v>
      </c>
    </row>
    <row r="52" spans="1:7">
      <c r="A52" s="14" t="s">
        <v>172</v>
      </c>
      <c r="B52" s="1">
        <v>8.9600000000000009</v>
      </c>
      <c r="C52" s="1">
        <v>220</v>
      </c>
      <c r="D52" s="1">
        <v>300</v>
      </c>
      <c r="E52" s="1">
        <v>0.4</v>
      </c>
      <c r="F52" s="1">
        <v>0.15</v>
      </c>
      <c r="G52" s="1">
        <v>0.8</v>
      </c>
    </row>
    <row r="53" spans="1:7">
      <c r="A53" s="14" t="s">
        <v>173</v>
      </c>
      <c r="B53" s="1">
        <v>1.25</v>
      </c>
      <c r="C53" s="1">
        <v>70</v>
      </c>
      <c r="D53" s="1">
        <v>40</v>
      </c>
      <c r="E53" s="1">
        <v>0.3</v>
      </c>
      <c r="F53" s="1">
        <v>0.04</v>
      </c>
      <c r="G53" s="1">
        <v>0.15</v>
      </c>
    </row>
    <row r="54" spans="1:7">
      <c r="A54" s="14" t="s">
        <v>174</v>
      </c>
      <c r="B54" s="1">
        <v>1.5</v>
      </c>
      <c r="C54" s="1">
        <v>7000</v>
      </c>
      <c r="D54" s="1">
        <v>3500</v>
      </c>
      <c r="E54" s="1">
        <v>0.1</v>
      </c>
      <c r="F54" s="1">
        <v>0.02</v>
      </c>
      <c r="G54" s="1">
        <v>5.5</v>
      </c>
    </row>
  </sheetData>
  <sheetProtection sheet="1" objects="1" scenarios="1"/>
  <mergeCells count="7">
    <mergeCell ref="M25:O25"/>
    <mergeCell ref="F34:G34"/>
    <mergeCell ref="F35:G35"/>
    <mergeCell ref="F36:G36"/>
    <mergeCell ref="F37:G37"/>
    <mergeCell ref="M37:N37"/>
    <mergeCell ref="O37:P37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6CB42-F759-4188-99B9-A1369A87A5F5}">
  <dimension ref="A1"/>
  <sheetViews>
    <sheetView workbookViewId="0"/>
  </sheetViews>
  <sheetFormatPr defaultRowHeight="14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第一齒輪對</vt:lpstr>
      <vt:lpstr>預設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 Hsu</cp:lastModifiedBy>
  <dcterms:created xsi:type="dcterms:W3CDTF">2015-06-05T18:17:20Z</dcterms:created>
  <dcterms:modified xsi:type="dcterms:W3CDTF">2026-03-13T18:47:23Z</dcterms:modified>
</cp:coreProperties>
</file>